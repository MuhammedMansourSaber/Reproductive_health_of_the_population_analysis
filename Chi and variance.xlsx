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3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اختبار انوفا للتعليم و الوعي" sheetId="2" r:id="rId1"/>
    <sheet name="كاي للدرجة الوظيفية و الوعي" sheetId="3" r:id="rId2"/>
    <sheet name="الحالة التعليمية و الوعي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8" i="4" l="1"/>
  <c r="Q9" i="4"/>
  <c r="Q10" i="4"/>
  <c r="Q7" i="4"/>
  <c r="R11" i="4"/>
  <c r="Q11" i="4" s="1"/>
  <c r="S11" i="4"/>
  <c r="S8" i="4"/>
  <c r="S9" i="4"/>
  <c r="S10" i="4"/>
  <c r="S7" i="4"/>
  <c r="O8" i="4"/>
  <c r="O9" i="4"/>
  <c r="O10" i="4"/>
  <c r="O7" i="4"/>
  <c r="O11" i="4" s="1"/>
  <c r="P8" i="4"/>
  <c r="P9" i="4"/>
  <c r="P10" i="4"/>
  <c r="P7" i="4"/>
  <c r="T11" i="4"/>
  <c r="P11" i="4" l="1"/>
</calcChain>
</file>

<file path=xl/sharedStrings.xml><?xml version="1.0" encoding="utf-8"?>
<sst xmlns="http://schemas.openxmlformats.org/spreadsheetml/2006/main" count="187" uniqueCount="76">
  <si>
    <t>Statistic</t>
  </si>
  <si>
    <t>df</t>
  </si>
  <si>
    <t>Sig.</t>
  </si>
  <si>
    <t>الدرجة الوظيفية للمبحوث</t>
  </si>
  <si>
    <t>العلم بالصحة الانجابية</t>
  </si>
  <si>
    <t/>
  </si>
  <si>
    <t>ANOVA</t>
  </si>
  <si>
    <t>Sum of Squares</t>
  </si>
  <si>
    <t>Mean Square</t>
  </si>
  <si>
    <t>F</t>
  </si>
  <si>
    <t>Between Groups</t>
  </si>
  <si>
    <t>Within Groups</t>
  </si>
  <si>
    <t>Total</t>
  </si>
  <si>
    <t>Multiple Comparisons</t>
  </si>
  <si>
    <t xml:space="preserve">Dependent Variable: </t>
  </si>
  <si>
    <t>(I) الحالة التعليمية</t>
  </si>
  <si>
    <t>Mean Difference (I-J)</t>
  </si>
  <si>
    <t>Std. Error</t>
  </si>
  <si>
    <t>95% Confidence Interval</t>
  </si>
  <si>
    <t>Lower Bound</t>
  </si>
  <si>
    <t>Upper Bound</t>
  </si>
  <si>
    <t>Tukey HSD</t>
  </si>
  <si>
    <t>متوسط</t>
  </si>
  <si>
    <t>فوق متوسط</t>
  </si>
  <si>
    <t>تعليم جامعي</t>
  </si>
  <si>
    <t>فوق جامعي</t>
  </si>
  <si>
    <t>Scheffe</t>
  </si>
  <si>
    <t>Dunnett C</t>
  </si>
  <si>
    <t>الحالة التعليمية</t>
  </si>
  <si>
    <t>N</t>
  </si>
  <si>
    <t>Subset for alpha = 0.05</t>
  </si>
  <si>
    <t>1</t>
  </si>
  <si>
    <t>Means for groups in homogeneous subsets are displayed.</t>
  </si>
  <si>
    <t>a. Uses Harmonic Mean Sample Size = 7.680.</t>
  </si>
  <si>
    <t>b. The group sizes are unequal. The harmonic mean of the group sizes is used. Type I error levels are not guaranteed.</t>
  </si>
  <si>
    <r>
      <t>Tukey HSD</t>
    </r>
    <r>
      <rPr>
        <vertAlign val="superscript"/>
        <sz val="12"/>
        <color indexed="8"/>
        <rFont val="Arial"/>
        <family val="2"/>
      </rPr>
      <t>a,b</t>
    </r>
  </si>
  <si>
    <r>
      <t>Scheffe</t>
    </r>
    <r>
      <rPr>
        <vertAlign val="superscript"/>
        <sz val="12"/>
        <color indexed="8"/>
        <rFont val="Arial"/>
        <family val="2"/>
      </rPr>
      <t>a,b</t>
    </r>
  </si>
  <si>
    <t>العلم بالصحة الانجابية  * الدرجة الوظيفية للمبحوث Crosstabulation</t>
  </si>
  <si>
    <t>موظف اداري</t>
  </si>
  <si>
    <t>هيئة معاونة</t>
  </si>
  <si>
    <t>عضو هيئة تدريس</t>
  </si>
  <si>
    <t>نعم</t>
  </si>
  <si>
    <t>Count</t>
  </si>
  <si>
    <t>% within العلم بالصحة الانجابية</t>
  </si>
  <si>
    <t>% within الدرجة الوظيفية للمبحوث</t>
  </si>
  <si>
    <t>% of Total</t>
  </si>
  <si>
    <t>لا</t>
  </si>
  <si>
    <t>Chi-Square Tests</t>
  </si>
  <si>
    <t>Value</t>
  </si>
  <si>
    <t>Asymptotic Significance (2-sided)</t>
  </si>
  <si>
    <t>Pearson Chi-Square</t>
  </si>
  <si>
    <t>Likelihood Ratio</t>
  </si>
  <si>
    <t>Linear-by-Linear Association</t>
  </si>
  <si>
    <t>N of Valid Cases</t>
  </si>
  <si>
    <t>a. 4 cells (66.7%) have expected count less than 5. The minimum expected count is .53.</t>
  </si>
  <si>
    <r>
      <t>2.121</t>
    </r>
    <r>
      <rPr>
        <vertAlign val="superscript"/>
        <sz val="12"/>
        <color indexed="8"/>
        <rFont val="Arial"/>
      </rPr>
      <t>a</t>
    </r>
  </si>
  <si>
    <t>Descriptives</t>
  </si>
  <si>
    <t>Mean</t>
  </si>
  <si>
    <t>95% Confidence Interval for Mean</t>
  </si>
  <si>
    <t>5% Trimmed Mean</t>
  </si>
  <si>
    <t>Median</t>
  </si>
  <si>
    <t>Variance</t>
  </si>
  <si>
    <t>Std. Deviation</t>
  </si>
  <si>
    <t>Minimum</t>
  </si>
  <si>
    <t>Maximum</t>
  </si>
  <si>
    <t>Range</t>
  </si>
  <si>
    <t>Interquartile Range</t>
  </si>
  <si>
    <t>Skewness</t>
  </si>
  <si>
    <t>Kurtosis</t>
  </si>
  <si>
    <t>a. 5 cells (62.5%) have expected count less than 5. The minimum expected count is .70.</t>
  </si>
  <si>
    <r>
      <t>4.646</t>
    </r>
    <r>
      <rPr>
        <vertAlign val="superscript"/>
        <sz val="12"/>
        <color indexed="8"/>
        <rFont val="Arial"/>
      </rPr>
      <t>a</t>
    </r>
  </si>
  <si>
    <t>المجموع</t>
  </si>
  <si>
    <t xml:space="preserve">لا </t>
  </si>
  <si>
    <t>جامعي</t>
  </si>
  <si>
    <t>العدد</t>
  </si>
  <si>
    <t>النسبة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</si>
</sst>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8" formatCode="###0.000"/>
    <numFmt numFmtId="169" formatCode="###0"/>
    <numFmt numFmtId="170" formatCode="###0.00000"/>
    <numFmt numFmtId="171" formatCode="###0.0000"/>
    <numFmt numFmtId="172" formatCode="###0.0%"/>
    <numFmt numFmtId="173" formatCode="###0.00"/>
    <numFmt numFmtId="17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</font>
    <font>
      <b/>
      <sz val="14"/>
      <color indexed="8"/>
      <name val="Arial Bold"/>
    </font>
    <font>
      <sz val="12"/>
      <color indexed="8"/>
      <name val="Arial"/>
    </font>
    <font>
      <vertAlign val="superscript"/>
      <sz val="12"/>
      <color indexed="8"/>
      <name val="Arial"/>
    </font>
    <font>
      <sz val="10"/>
      <name val="Arial"/>
      <family val="2"/>
    </font>
    <font>
      <sz val="12"/>
      <color indexed="8"/>
      <name val="Arial"/>
      <family val="2"/>
    </font>
    <font>
      <vertAlign val="superscript"/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/>
      <right/>
      <top style="thick">
        <color indexed="8"/>
      </top>
      <bottom style="thin">
        <color indexed="8"/>
      </bottom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/>
      <right/>
      <top/>
      <bottom style="thin">
        <color indexed="8"/>
      </bottom>
      <diagonal/>
    </border>
    <border>
      <left/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ck">
        <color indexed="8"/>
      </right>
      <top/>
      <bottom style="thin">
        <color indexed="8"/>
      </bottom>
      <diagonal/>
    </border>
    <border>
      <left style="thick">
        <color indexed="8"/>
      </left>
      <right/>
      <top/>
      <bottom style="thin">
        <color indexed="8"/>
      </bottom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2" fillId="0" borderId="0"/>
    <xf numFmtId="0" fontId="2" fillId="0" borderId="0"/>
  </cellStyleXfs>
  <cellXfs count="171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2" borderId="0" xfId="2" applyFont="1" applyFill="1" applyBorder="1" applyAlignment="1">
      <alignment horizontal="center" vertical="center" wrapText="1"/>
    </xf>
    <xf numFmtId="0" fontId="6" fillId="2" borderId="0" xfId="2" applyFill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6" fillId="2" borderId="0" xfId="2" applyFill="1" applyAlignment="1">
      <alignment horizontal="center" vertical="center"/>
    </xf>
    <xf numFmtId="0" fontId="7" fillId="2" borderId="23" xfId="2" applyFont="1" applyFill="1" applyBorder="1" applyAlignment="1">
      <alignment horizontal="center" vertical="center" wrapText="1"/>
    </xf>
    <xf numFmtId="0" fontId="7" fillId="2" borderId="24" xfId="2" applyFont="1" applyFill="1" applyBorder="1" applyAlignment="1">
      <alignment horizontal="center" vertical="center" wrapText="1"/>
    </xf>
    <xf numFmtId="0" fontId="7" fillId="2" borderId="25" xfId="2" applyFont="1" applyFill="1" applyBorder="1" applyAlignment="1">
      <alignment horizontal="center" vertical="center" wrapText="1"/>
    </xf>
    <xf numFmtId="0" fontId="7" fillId="2" borderId="26" xfId="2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 vertical="center" wrapText="1"/>
    </xf>
    <xf numFmtId="0" fontId="7" fillId="2" borderId="15" xfId="2" applyFont="1" applyFill="1" applyBorder="1" applyAlignment="1">
      <alignment horizontal="center" vertical="center" wrapText="1"/>
    </xf>
    <xf numFmtId="0" fontId="7" fillId="2" borderId="16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0" fontId="7" fillId="2" borderId="18" xfId="2" applyFont="1" applyFill="1" applyBorder="1" applyAlignment="1">
      <alignment horizontal="center" vertical="center" wrapText="1"/>
    </xf>
    <xf numFmtId="0" fontId="7" fillId="2" borderId="27" xfId="2" applyFont="1" applyFill="1" applyBorder="1" applyAlignment="1">
      <alignment horizontal="center" vertical="center" wrapText="1"/>
    </xf>
    <xf numFmtId="0" fontId="7" fillId="2" borderId="28" xfId="2" applyFont="1" applyFill="1" applyBorder="1" applyAlignment="1">
      <alignment horizontal="center" vertical="center" wrapText="1"/>
    </xf>
    <xf numFmtId="0" fontId="7" fillId="2" borderId="29" xfId="2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 wrapText="1"/>
    </xf>
    <xf numFmtId="0" fontId="7" fillId="2" borderId="7" xfId="2" applyFont="1" applyFill="1" applyBorder="1" applyAlignment="1">
      <alignment horizontal="center" vertical="center" wrapText="1"/>
    </xf>
    <xf numFmtId="0" fontId="7" fillId="2" borderId="7" xfId="2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168" fontId="7" fillId="2" borderId="9" xfId="2" applyNumberFormat="1" applyFont="1" applyFill="1" applyBorder="1" applyAlignment="1">
      <alignment horizontal="center" vertical="center"/>
    </xf>
    <xf numFmtId="169" fontId="7" fillId="2" borderId="10" xfId="2" applyNumberFormat="1" applyFont="1" applyFill="1" applyBorder="1" applyAlignment="1">
      <alignment horizontal="center" vertical="center"/>
    </xf>
    <xf numFmtId="168" fontId="7" fillId="2" borderId="10" xfId="2" applyNumberFormat="1" applyFont="1" applyFill="1" applyBorder="1" applyAlignment="1">
      <alignment horizontal="center" vertical="center"/>
    </xf>
    <xf numFmtId="168" fontId="7" fillId="2" borderId="11" xfId="2" applyNumberFormat="1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 wrapText="1"/>
    </xf>
    <xf numFmtId="0" fontId="7" fillId="2" borderId="30" xfId="2" applyFont="1" applyFill="1" applyBorder="1" applyAlignment="1">
      <alignment horizontal="center" vertical="center" wrapText="1"/>
    </xf>
    <xf numFmtId="0" fontId="7" fillId="2" borderId="25" xfId="2" applyFont="1" applyFill="1" applyBorder="1" applyAlignment="1">
      <alignment horizontal="center" vertical="center" wrapText="1"/>
    </xf>
    <xf numFmtId="170" fontId="7" fillId="2" borderId="9" xfId="2" applyNumberFormat="1" applyFont="1" applyFill="1" applyBorder="1" applyAlignment="1">
      <alignment horizontal="center" vertical="center"/>
    </xf>
    <xf numFmtId="170" fontId="7" fillId="2" borderId="10" xfId="2" applyNumberFormat="1" applyFont="1" applyFill="1" applyBorder="1" applyAlignment="1">
      <alignment horizontal="center" vertical="center"/>
    </xf>
    <xf numFmtId="171" fontId="7" fillId="2" borderId="10" xfId="2" applyNumberFormat="1" applyFont="1" applyFill="1" applyBorder="1" applyAlignment="1">
      <alignment horizontal="center" vertical="center"/>
    </xf>
    <xf numFmtId="171" fontId="7" fillId="2" borderId="11" xfId="2" applyNumberFormat="1" applyFont="1" applyFill="1" applyBorder="1" applyAlignment="1">
      <alignment horizontal="center" vertical="center"/>
    </xf>
    <xf numFmtId="0" fontId="7" fillId="2" borderId="19" xfId="2" applyFont="1" applyFill="1" applyBorder="1" applyAlignment="1">
      <alignment horizontal="center" vertical="center" wrapText="1"/>
    </xf>
    <xf numFmtId="168" fontId="7" fillId="2" borderId="20" xfId="2" applyNumberFormat="1" applyFont="1" applyFill="1" applyBorder="1" applyAlignment="1">
      <alignment horizontal="center" vertical="center"/>
    </xf>
    <xf numFmtId="169" fontId="7" fillId="2" borderId="21" xfId="2" applyNumberFormat="1" applyFont="1" applyFill="1" applyBorder="1" applyAlignment="1">
      <alignment horizontal="center" vertical="center"/>
    </xf>
    <xf numFmtId="168" fontId="7" fillId="2" borderId="21" xfId="2" applyNumberFormat="1" applyFont="1" applyFill="1" applyBorder="1" applyAlignment="1">
      <alignment horizontal="center" vertical="center"/>
    </xf>
    <xf numFmtId="0" fontId="7" fillId="2" borderId="21" xfId="2" applyFont="1" applyFill="1" applyBorder="1" applyAlignment="1">
      <alignment horizontal="center" vertical="center" wrapText="1"/>
    </xf>
    <xf numFmtId="0" fontId="7" fillId="2" borderId="22" xfId="2" applyFont="1" applyFill="1" applyBorder="1" applyAlignment="1">
      <alignment horizontal="center" vertical="center" wrapText="1"/>
    </xf>
    <xf numFmtId="0" fontId="7" fillId="2" borderId="31" xfId="2" applyFont="1" applyFill="1" applyBorder="1" applyAlignment="1">
      <alignment horizontal="center" vertical="center" wrapText="1"/>
    </xf>
    <xf numFmtId="0" fontId="7" fillId="2" borderId="0" xfId="2" applyFont="1" applyFill="1" applyBorder="1" applyAlignment="1">
      <alignment horizontal="center" vertical="center" wrapText="1"/>
    </xf>
    <xf numFmtId="0" fontId="7" fillId="2" borderId="32" xfId="2" applyFont="1" applyFill="1" applyBorder="1" applyAlignment="1">
      <alignment horizontal="center" vertical="center" wrapText="1"/>
    </xf>
    <xf numFmtId="170" fontId="7" fillId="2" borderId="20" xfId="2" applyNumberFormat="1" applyFont="1" applyFill="1" applyBorder="1" applyAlignment="1">
      <alignment horizontal="center" vertical="center"/>
    </xf>
    <xf numFmtId="170" fontId="7" fillId="2" borderId="21" xfId="2" applyNumberFormat="1" applyFont="1" applyFill="1" applyBorder="1" applyAlignment="1">
      <alignment horizontal="center" vertical="center"/>
    </xf>
    <xf numFmtId="171" fontId="7" fillId="2" borderId="21" xfId="2" applyNumberFormat="1" applyFont="1" applyFill="1" applyBorder="1" applyAlignment="1">
      <alignment horizontal="center" vertical="center"/>
    </xf>
    <xf numFmtId="171" fontId="7" fillId="2" borderId="22" xfId="2" applyNumberFormat="1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 wrapText="1"/>
    </xf>
    <xf numFmtId="168" fontId="7" fillId="2" borderId="12" xfId="2" applyNumberFormat="1" applyFont="1" applyFill="1" applyBorder="1" applyAlignment="1">
      <alignment horizontal="center" vertical="center"/>
    </xf>
    <xf numFmtId="169" fontId="7" fillId="2" borderId="13" xfId="2" applyNumberFormat="1" applyFont="1" applyFill="1" applyBorder="1" applyAlignment="1">
      <alignment horizontal="center" vertical="center"/>
    </xf>
    <xf numFmtId="0" fontId="7" fillId="2" borderId="13" xfId="2" applyFont="1" applyFill="1" applyBorder="1" applyAlignment="1">
      <alignment horizontal="center" vertical="center" wrapText="1"/>
    </xf>
    <xf numFmtId="0" fontId="7" fillId="2" borderId="14" xfId="2" applyFont="1" applyFill="1" applyBorder="1" applyAlignment="1">
      <alignment horizontal="center" vertical="center" wrapText="1"/>
    </xf>
    <xf numFmtId="0" fontId="7" fillId="2" borderId="33" xfId="2" applyFont="1" applyFill="1" applyBorder="1" applyAlignment="1">
      <alignment horizontal="center" vertical="center" wrapText="1"/>
    </xf>
    <xf numFmtId="0" fontId="7" fillId="2" borderId="34" xfId="2" applyFont="1" applyFill="1" applyBorder="1" applyAlignment="1">
      <alignment horizontal="center" vertical="center" wrapText="1"/>
    </xf>
    <xf numFmtId="170" fontId="7" fillId="2" borderId="35" xfId="2" applyNumberFormat="1" applyFont="1" applyFill="1" applyBorder="1" applyAlignment="1">
      <alignment horizontal="center" vertical="center"/>
    </xf>
    <xf numFmtId="170" fontId="7" fillId="2" borderId="36" xfId="2" applyNumberFormat="1" applyFont="1" applyFill="1" applyBorder="1" applyAlignment="1">
      <alignment horizontal="center" vertical="center"/>
    </xf>
    <xf numFmtId="168" fontId="7" fillId="2" borderId="36" xfId="2" applyNumberFormat="1" applyFont="1" applyFill="1" applyBorder="1" applyAlignment="1">
      <alignment horizontal="center" vertical="center"/>
    </xf>
    <xf numFmtId="171" fontId="7" fillId="2" borderId="36" xfId="2" applyNumberFormat="1" applyFont="1" applyFill="1" applyBorder="1" applyAlignment="1">
      <alignment horizontal="center" vertical="center"/>
    </xf>
    <xf numFmtId="171" fontId="7" fillId="2" borderId="37" xfId="2" applyNumberFormat="1" applyFont="1" applyFill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/>
    </xf>
    <xf numFmtId="169" fontId="7" fillId="2" borderId="9" xfId="2" applyNumberFormat="1" applyFont="1" applyFill="1" applyBorder="1" applyAlignment="1">
      <alignment horizontal="center" vertical="center"/>
    </xf>
    <xf numFmtId="169" fontId="7" fillId="2" borderId="20" xfId="2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 vertical="center" wrapText="1"/>
    </xf>
    <xf numFmtId="0" fontId="7" fillId="2" borderId="35" xfId="2" applyFont="1" applyFill="1" applyBorder="1" applyAlignment="1">
      <alignment horizontal="center" vertical="center" wrapText="1"/>
    </xf>
    <xf numFmtId="168" fontId="7" fillId="2" borderId="37" xfId="2" applyNumberFormat="1" applyFont="1" applyFill="1" applyBorder="1" applyAlignment="1">
      <alignment horizontal="center" vertical="center"/>
    </xf>
    <xf numFmtId="0" fontId="7" fillId="2" borderId="29" xfId="2" applyFont="1" applyFill="1" applyBorder="1" applyAlignment="1">
      <alignment horizontal="center" vertical="center" wrapText="1"/>
    </xf>
    <xf numFmtId="0" fontId="7" fillId="2" borderId="12" xfId="2" applyFont="1" applyFill="1" applyBorder="1" applyAlignment="1">
      <alignment horizontal="center" vertical="center" wrapText="1"/>
    </xf>
    <xf numFmtId="168" fontId="7" fillId="2" borderId="14" xfId="2" applyNumberFormat="1" applyFont="1" applyFill="1" applyBorder="1" applyAlignment="1">
      <alignment horizontal="center" vertical="center"/>
    </xf>
    <xf numFmtId="0" fontId="7" fillId="2" borderId="36" xfId="2" applyFont="1" applyFill="1" applyBorder="1" applyAlignment="1">
      <alignment horizontal="center" vertical="center" wrapText="1"/>
    </xf>
    <xf numFmtId="170" fontId="7" fillId="2" borderId="12" xfId="2" applyNumberFormat="1" applyFont="1" applyFill="1" applyBorder="1" applyAlignment="1">
      <alignment horizontal="center" vertical="center"/>
    </xf>
    <xf numFmtId="170" fontId="7" fillId="2" borderId="13" xfId="2" applyNumberFormat="1" applyFont="1" applyFill="1" applyBorder="1" applyAlignment="1">
      <alignment horizontal="center" vertical="center"/>
    </xf>
    <xf numFmtId="171" fontId="7" fillId="2" borderId="13" xfId="2" applyNumberFormat="1" applyFont="1" applyFill="1" applyBorder="1" applyAlignment="1">
      <alignment horizontal="center" vertical="center"/>
    </xf>
    <xf numFmtId="171" fontId="7" fillId="2" borderId="14" xfId="2" applyNumberFormat="1" applyFont="1" applyFill="1" applyBorder="1" applyAlignment="1">
      <alignment horizontal="center" vertical="center"/>
    </xf>
    <xf numFmtId="0" fontId="3" fillId="0" borderId="0" xfId="3" applyFont="1" applyBorder="1" applyAlignment="1">
      <alignment horizontal="center" vertical="center" wrapText="1"/>
    </xf>
    <xf numFmtId="0" fontId="4" fillId="0" borderId="26" xfId="3" applyFont="1" applyBorder="1" applyAlignment="1">
      <alignment horizontal="center" vertical="center" wrapText="1"/>
    </xf>
    <xf numFmtId="0" fontId="4" fillId="0" borderId="3" xfId="3" applyFont="1" applyBorder="1" applyAlignment="1">
      <alignment horizontal="center" vertical="center" wrapText="1"/>
    </xf>
    <xf numFmtId="0" fontId="4" fillId="0" borderId="4" xfId="3" applyFont="1" applyBorder="1" applyAlignment="1">
      <alignment horizontal="center" vertical="center" wrapText="1"/>
    </xf>
    <xf numFmtId="0" fontId="4" fillId="0" borderId="6" xfId="3" applyFont="1" applyBorder="1" applyAlignment="1">
      <alignment horizontal="center" vertical="center" wrapText="1"/>
    </xf>
    <xf numFmtId="0" fontId="4" fillId="0" borderId="7" xfId="3" applyFont="1" applyBorder="1" applyAlignment="1">
      <alignment horizontal="center" vertical="center" wrapText="1"/>
    </xf>
    <xf numFmtId="0" fontId="4" fillId="0" borderId="8" xfId="3" applyFont="1" applyBorder="1" applyAlignment="1">
      <alignment horizontal="center" vertical="center" wrapText="1"/>
    </xf>
    <xf numFmtId="0" fontId="4" fillId="0" borderId="16" xfId="3" applyFont="1" applyBorder="1" applyAlignment="1">
      <alignment horizontal="center" vertical="center" wrapText="1"/>
    </xf>
    <xf numFmtId="0" fontId="4" fillId="0" borderId="18" xfId="3" applyFont="1" applyBorder="1" applyAlignment="1">
      <alignment horizontal="center" vertical="center" wrapText="1"/>
    </xf>
    <xf numFmtId="0" fontId="4" fillId="0" borderId="17" xfId="3" applyFont="1" applyBorder="1" applyAlignment="1">
      <alignment horizontal="center" vertical="center" wrapText="1"/>
    </xf>
    <xf numFmtId="0" fontId="2" fillId="0" borderId="0" xfId="3" applyAlignment="1">
      <alignment horizontal="center" vertical="center"/>
    </xf>
    <xf numFmtId="0" fontId="4" fillId="0" borderId="23" xfId="3" applyFont="1" applyBorder="1" applyAlignment="1">
      <alignment horizontal="center" vertical="center" wrapText="1"/>
    </xf>
    <xf numFmtId="0" fontId="4" fillId="0" borderId="24" xfId="3" applyFont="1" applyBorder="1" applyAlignment="1">
      <alignment horizontal="center" vertical="center" wrapText="1"/>
    </xf>
    <xf numFmtId="0" fontId="4" fillId="0" borderId="25" xfId="3" applyFont="1" applyBorder="1" applyAlignment="1">
      <alignment horizontal="center" vertical="center" wrapText="1"/>
    </xf>
    <xf numFmtId="0" fontId="4" fillId="0" borderId="27" xfId="3" applyFont="1" applyBorder="1" applyAlignment="1">
      <alignment horizontal="center" vertical="center" wrapText="1"/>
    </xf>
    <xf numFmtId="0" fontId="4" fillId="0" borderId="28" xfId="3" applyFont="1" applyBorder="1" applyAlignment="1">
      <alignment horizontal="center" vertical="center" wrapText="1"/>
    </xf>
    <xf numFmtId="0" fontId="4" fillId="0" borderId="29" xfId="3" applyFont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 wrapText="1"/>
    </xf>
    <xf numFmtId="0" fontId="4" fillId="0" borderId="30" xfId="3" applyFont="1" applyBorder="1" applyAlignment="1">
      <alignment horizontal="center" vertical="center" wrapText="1"/>
    </xf>
    <xf numFmtId="0" fontId="4" fillId="0" borderId="25" xfId="3" applyFont="1" applyBorder="1" applyAlignment="1">
      <alignment horizontal="center" vertical="center" wrapText="1"/>
    </xf>
    <xf numFmtId="169" fontId="4" fillId="0" borderId="9" xfId="3" applyNumberFormat="1" applyFont="1" applyBorder="1" applyAlignment="1">
      <alignment horizontal="center" vertical="center"/>
    </xf>
    <xf numFmtId="169" fontId="4" fillId="0" borderId="10" xfId="3" applyNumberFormat="1" applyFont="1" applyBorder="1" applyAlignment="1">
      <alignment horizontal="center" vertical="center"/>
    </xf>
    <xf numFmtId="169" fontId="4" fillId="0" borderId="11" xfId="3" applyNumberFormat="1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 wrapText="1"/>
    </xf>
    <xf numFmtId="0" fontId="4" fillId="0" borderId="40" xfId="3" applyFont="1" applyBorder="1" applyAlignment="1">
      <alignment horizontal="center" vertical="center" wrapText="1"/>
    </xf>
    <xf numFmtId="0" fontId="4" fillId="0" borderId="41" xfId="3" applyFont="1" applyBorder="1" applyAlignment="1">
      <alignment horizontal="center" vertical="center" wrapText="1"/>
    </xf>
    <xf numFmtId="0" fontId="4" fillId="0" borderId="31" xfId="3" applyFont="1" applyBorder="1" applyAlignment="1">
      <alignment horizontal="center" vertical="center" wrapText="1"/>
    </xf>
    <xf numFmtId="0" fontId="4" fillId="0" borderId="0" xfId="3" applyFont="1" applyBorder="1" applyAlignment="1">
      <alignment horizontal="center" vertical="center" wrapText="1"/>
    </xf>
    <xf numFmtId="0" fontId="4" fillId="0" borderId="32" xfId="3" applyFont="1" applyBorder="1" applyAlignment="1">
      <alignment horizontal="center" vertical="center" wrapText="1"/>
    </xf>
    <xf numFmtId="172" fontId="4" fillId="0" borderId="20" xfId="3" applyNumberFormat="1" applyFont="1" applyBorder="1" applyAlignment="1">
      <alignment horizontal="center" vertical="center"/>
    </xf>
    <xf numFmtId="172" fontId="4" fillId="0" borderId="21" xfId="3" applyNumberFormat="1" applyFont="1" applyBorder="1" applyAlignment="1">
      <alignment horizontal="center" vertical="center"/>
    </xf>
    <xf numFmtId="172" fontId="4" fillId="0" borderId="22" xfId="3" applyNumberFormat="1" applyFont="1" applyBorder="1" applyAlignment="1">
      <alignment horizontal="center" vertical="center"/>
    </xf>
    <xf numFmtId="0" fontId="4" fillId="0" borderId="42" xfId="3" applyFont="1" applyBorder="1" applyAlignment="1">
      <alignment horizontal="center" vertical="center" wrapText="1"/>
    </xf>
    <xf numFmtId="171" fontId="4" fillId="0" borderId="26" xfId="3" applyNumberFormat="1" applyFont="1" applyBorder="1" applyAlignment="1">
      <alignment horizontal="center" vertical="center"/>
    </xf>
    <xf numFmtId="170" fontId="4" fillId="0" borderId="4" xfId="3" applyNumberFormat="1" applyFont="1" applyBorder="1" applyAlignment="1">
      <alignment horizontal="center" vertical="center"/>
    </xf>
    <xf numFmtId="0" fontId="4" fillId="0" borderId="33" xfId="3" applyFont="1" applyBorder="1" applyAlignment="1">
      <alignment horizontal="center" vertical="center" wrapText="1"/>
    </xf>
    <xf numFmtId="171" fontId="4" fillId="0" borderId="20" xfId="3" applyNumberFormat="1" applyFont="1" applyBorder="1" applyAlignment="1">
      <alignment horizontal="center" vertical="center"/>
    </xf>
    <xf numFmtId="0" fontId="4" fillId="0" borderId="22" xfId="3" applyFont="1" applyBorder="1" applyAlignment="1">
      <alignment horizontal="center" vertical="center" wrapText="1"/>
    </xf>
    <xf numFmtId="0" fontId="4" fillId="0" borderId="34" xfId="3" applyFont="1" applyBorder="1" applyAlignment="1">
      <alignment horizontal="center" vertical="center" wrapText="1"/>
    </xf>
    <xf numFmtId="172" fontId="4" fillId="0" borderId="35" xfId="3" applyNumberFormat="1" applyFont="1" applyBorder="1" applyAlignment="1">
      <alignment horizontal="center" vertical="center"/>
    </xf>
    <xf numFmtId="172" fontId="4" fillId="0" borderId="36" xfId="3" applyNumberFormat="1" applyFont="1" applyBorder="1" applyAlignment="1">
      <alignment horizontal="center" vertical="center"/>
    </xf>
    <xf numFmtId="172" fontId="4" fillId="0" borderId="37" xfId="3" applyNumberFormat="1" applyFont="1" applyBorder="1" applyAlignment="1">
      <alignment horizontal="center" vertical="center"/>
    </xf>
    <xf numFmtId="171" fontId="4" fillId="0" borderId="35" xfId="3" applyNumberFormat="1" applyFont="1" applyBorder="1" applyAlignment="1">
      <alignment horizontal="center" vertical="center"/>
    </xf>
    <xf numFmtId="0" fontId="4" fillId="0" borderId="37" xfId="3" applyFont="1" applyBorder="1" applyAlignment="1">
      <alignment horizontal="center" vertical="center" wrapText="1"/>
    </xf>
    <xf numFmtId="169" fontId="4" fillId="0" borderId="20" xfId="3" applyNumberFormat="1" applyFont="1" applyBorder="1" applyAlignment="1">
      <alignment horizontal="center" vertical="center"/>
    </xf>
    <xf numFmtId="169" fontId="4" fillId="0" borderId="21" xfId="3" applyNumberFormat="1" applyFont="1" applyBorder="1" applyAlignment="1">
      <alignment horizontal="center" vertical="center"/>
    </xf>
    <xf numFmtId="169" fontId="4" fillId="0" borderId="22" xfId="3" applyNumberFormat="1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 wrapText="1"/>
    </xf>
    <xf numFmtId="168" fontId="4" fillId="0" borderId="35" xfId="3" applyNumberFormat="1" applyFont="1" applyBorder="1" applyAlignment="1">
      <alignment horizontal="center" vertical="center"/>
    </xf>
    <xf numFmtId="0" fontId="4" fillId="0" borderId="38" xfId="3" applyFont="1" applyBorder="1" applyAlignment="1">
      <alignment horizontal="center" vertical="center" wrapText="1"/>
    </xf>
    <xf numFmtId="0" fontId="4" fillId="0" borderId="15" xfId="3" applyFont="1" applyBorder="1" applyAlignment="1">
      <alignment horizontal="center" vertical="center" wrapText="1"/>
    </xf>
    <xf numFmtId="170" fontId="4" fillId="0" borderId="35" xfId="3" applyNumberFormat="1" applyFont="1" applyBorder="1" applyAlignment="1">
      <alignment horizontal="center" vertical="center"/>
    </xf>
    <xf numFmtId="0" fontId="4" fillId="0" borderId="1" xfId="3" applyFont="1" applyBorder="1" applyAlignment="1">
      <alignment horizontal="center" vertical="center" wrapText="1"/>
    </xf>
    <xf numFmtId="0" fontId="4" fillId="0" borderId="9" xfId="3" applyFont="1" applyBorder="1" applyAlignment="1">
      <alignment horizontal="center" vertical="center"/>
    </xf>
    <xf numFmtId="168" fontId="4" fillId="0" borderId="11" xfId="3" applyNumberFormat="1" applyFont="1" applyBorder="1" applyAlignment="1">
      <alignment horizontal="center" vertical="center"/>
    </xf>
    <xf numFmtId="173" fontId="4" fillId="0" borderId="35" xfId="3" applyNumberFormat="1" applyFont="1" applyBorder="1" applyAlignment="1">
      <alignment horizontal="center" vertical="center"/>
    </xf>
    <xf numFmtId="0" fontId="4" fillId="0" borderId="19" xfId="3" applyFont="1" applyBorder="1" applyAlignment="1">
      <alignment horizontal="center" vertical="center" wrapText="1"/>
    </xf>
    <xf numFmtId="168" fontId="4" fillId="0" borderId="20" xfId="3" applyNumberFormat="1" applyFont="1" applyBorder="1" applyAlignment="1">
      <alignment horizontal="center" vertical="center"/>
    </xf>
    <xf numFmtId="168" fontId="4" fillId="0" borderId="22" xfId="3" applyNumberFormat="1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 wrapText="1"/>
    </xf>
    <xf numFmtId="172" fontId="4" fillId="0" borderId="12" xfId="3" applyNumberFormat="1" applyFont="1" applyBorder="1" applyAlignment="1">
      <alignment horizontal="center" vertical="center"/>
    </xf>
    <xf numFmtId="172" fontId="4" fillId="0" borderId="13" xfId="3" applyNumberFormat="1" applyFont="1" applyBorder="1" applyAlignment="1">
      <alignment horizontal="center" vertical="center"/>
    </xf>
    <xf numFmtId="172" fontId="4" fillId="0" borderId="14" xfId="3" applyNumberFormat="1" applyFont="1" applyBorder="1" applyAlignment="1">
      <alignment horizontal="center" vertical="center"/>
    </xf>
    <xf numFmtId="0" fontId="4" fillId="0" borderId="5" xfId="3" applyFont="1" applyBorder="1" applyAlignment="1">
      <alignment horizontal="center" vertical="center" wrapText="1"/>
    </xf>
    <xf numFmtId="169" fontId="4" fillId="0" borderId="12" xfId="3" applyNumberFormat="1" applyFont="1" applyBorder="1" applyAlignment="1">
      <alignment horizontal="center" vertical="center"/>
    </xf>
    <xf numFmtId="0" fontId="4" fillId="0" borderId="13" xfId="3" applyFont="1" applyBorder="1" applyAlignment="1">
      <alignment horizontal="center" vertical="center" wrapText="1"/>
    </xf>
    <xf numFmtId="0" fontId="4" fillId="0" borderId="14" xfId="3" applyFont="1" applyBorder="1" applyAlignment="1">
      <alignment horizontal="center" vertical="center" wrapText="1"/>
    </xf>
    <xf numFmtId="168" fontId="4" fillId="0" borderId="37" xfId="3" applyNumberFormat="1" applyFont="1" applyBorder="1" applyAlignment="1">
      <alignment horizontal="center" vertical="center"/>
    </xf>
    <xf numFmtId="170" fontId="4" fillId="0" borderId="37" xfId="3" applyNumberFormat="1" applyFont="1" applyBorder="1" applyAlignment="1">
      <alignment horizontal="center" vertical="center"/>
    </xf>
    <xf numFmtId="168" fontId="4" fillId="0" borderId="12" xfId="3" applyNumberFormat="1" applyFont="1" applyBorder="1" applyAlignment="1">
      <alignment horizontal="center" vertical="center"/>
    </xf>
    <xf numFmtId="168" fontId="4" fillId="0" borderId="14" xfId="3" applyNumberFormat="1" applyFont="1" applyBorder="1" applyAlignment="1">
      <alignment horizontal="center" vertical="center"/>
    </xf>
    <xf numFmtId="0" fontId="3" fillId="0" borderId="0" xfId="4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0" fontId="4" fillId="0" borderId="16" xfId="4" applyFont="1" applyBorder="1" applyAlignment="1">
      <alignment horizontal="center" vertical="center" wrapText="1"/>
    </xf>
    <xf numFmtId="0" fontId="4" fillId="0" borderId="17" xfId="4" applyFont="1" applyBorder="1" applyAlignment="1">
      <alignment horizontal="center" vertical="center" wrapText="1"/>
    </xf>
    <xf numFmtId="0" fontId="4" fillId="0" borderId="18" xfId="4" applyFont="1" applyBorder="1" applyAlignment="1">
      <alignment horizontal="center" vertical="center" wrapText="1"/>
    </xf>
    <xf numFmtId="0" fontId="0" fillId="0" borderId="43" xfId="0" applyBorder="1" applyAlignment="1">
      <alignment horizontal="center" vertical="center"/>
    </xf>
    <xf numFmtId="9" fontId="0" fillId="0" borderId="43" xfId="1" applyNumberFormat="1" applyFont="1" applyBorder="1" applyAlignment="1">
      <alignment horizontal="center" vertical="center"/>
    </xf>
    <xf numFmtId="174" fontId="0" fillId="0" borderId="43" xfId="1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4" applyAlignment="1">
      <alignment horizontal="center" vertical="center"/>
    </xf>
    <xf numFmtId="0" fontId="4" fillId="0" borderId="15" xfId="4" applyFont="1" applyBorder="1" applyAlignment="1">
      <alignment horizontal="center" vertical="center" wrapText="1"/>
    </xf>
    <xf numFmtId="0" fontId="4" fillId="0" borderId="1" xfId="4" applyFont="1" applyBorder="1" applyAlignment="1">
      <alignment horizontal="center" vertical="center" wrapText="1"/>
    </xf>
    <xf numFmtId="0" fontId="4" fillId="0" borderId="9" xfId="4" applyFont="1" applyBorder="1" applyAlignment="1">
      <alignment horizontal="center" vertical="center"/>
    </xf>
    <xf numFmtId="169" fontId="4" fillId="0" borderId="10" xfId="4" applyNumberFormat="1" applyFont="1" applyBorder="1" applyAlignment="1">
      <alignment horizontal="center" vertical="center"/>
    </xf>
    <xf numFmtId="168" fontId="4" fillId="0" borderId="11" xfId="4" applyNumberFormat="1" applyFont="1" applyBorder="1" applyAlignment="1">
      <alignment horizontal="center" vertical="center"/>
    </xf>
    <xf numFmtId="0" fontId="4" fillId="0" borderId="19" xfId="4" applyFont="1" applyBorder="1" applyAlignment="1">
      <alignment horizontal="center" vertical="center" wrapText="1"/>
    </xf>
    <xf numFmtId="168" fontId="4" fillId="0" borderId="20" xfId="4" applyNumberFormat="1" applyFont="1" applyBorder="1" applyAlignment="1">
      <alignment horizontal="center" vertical="center"/>
    </xf>
    <xf numFmtId="169" fontId="4" fillId="0" borderId="21" xfId="4" applyNumberFormat="1" applyFont="1" applyBorder="1" applyAlignment="1">
      <alignment horizontal="center" vertical="center"/>
    </xf>
    <xf numFmtId="168" fontId="4" fillId="0" borderId="22" xfId="4" applyNumberFormat="1" applyFont="1" applyBorder="1" applyAlignment="1">
      <alignment horizontal="center" vertical="center"/>
    </xf>
    <xf numFmtId="0" fontId="4" fillId="0" borderId="5" xfId="4" applyFont="1" applyBorder="1" applyAlignment="1">
      <alignment horizontal="center" vertical="center" wrapText="1"/>
    </xf>
    <xf numFmtId="169" fontId="4" fillId="0" borderId="12" xfId="4" applyNumberFormat="1" applyFont="1" applyBorder="1" applyAlignment="1">
      <alignment horizontal="center" vertical="center"/>
    </xf>
    <xf numFmtId="0" fontId="4" fillId="0" borderId="13" xfId="4" applyFont="1" applyBorder="1" applyAlignment="1">
      <alignment horizontal="center" vertical="center" wrapText="1"/>
    </xf>
    <xf numFmtId="0" fontId="4" fillId="0" borderId="14" xfId="4" applyFont="1" applyBorder="1" applyAlignment="1">
      <alignment horizontal="center" vertical="center" wrapText="1"/>
    </xf>
    <xf numFmtId="0" fontId="4" fillId="0" borderId="0" xfId="4" applyFont="1" applyBorder="1" applyAlignment="1">
      <alignment horizontal="center" vertical="center" wrapText="1"/>
    </xf>
  </cellXfs>
  <cellStyles count="5">
    <cellStyle name="Normal" xfId="0" builtinId="0"/>
    <cellStyle name="Normal_Sheet4" xfId="4"/>
    <cellStyle name="Normal_اختبار انوفا للتعليم و الوعي" xfId="2"/>
    <cellStyle name="Normal_كاي للدرجة الوظيفية و الوعي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متوسط</c:v>
              </c:pt>
              <c:pt idx="1">
                <c:v>فوق متوسط</c:v>
              </c:pt>
              <c:pt idx="2">
                <c:v>تعليم جامعي</c:v>
              </c:pt>
              <c:pt idx="3">
                <c:v>فوق جامعي</c:v>
              </c:pt>
            </c:strLit>
          </c:cat>
          <c:val>
            <c:numLit>
              <c:formatCode>0.00</c:formatCode>
              <c:ptCount val="4"/>
              <c:pt idx="0">
                <c:v>1.3125</c:v>
              </c:pt>
              <c:pt idx="1">
                <c:v>1.25</c:v>
              </c:pt>
              <c:pt idx="2">
                <c:v>1.083333333333333</c:v>
              </c:pt>
              <c:pt idx="3">
                <c:v>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612-472F-9488-2A632BD521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0367400"/>
        <c:axId val="620314752"/>
      </c:lineChart>
      <c:catAx>
        <c:axId val="610367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الحالة التعليمية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0314752"/>
        <c:crosses val="autoZero"/>
        <c:auto val="1"/>
        <c:lblAlgn val="ctr"/>
        <c:lblOffset val="100"/>
        <c:noMultiLvlLbl val="0"/>
      </c:catAx>
      <c:valAx>
        <c:axId val="62031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Mean of العلم بالصحة الانجابية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0367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Bar Chart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v>الدرجة الوظيفية للمبحوث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نعم</c:v>
              </c:pt>
              <c:pt idx="1">
                <c:v>لا</c:v>
              </c:pt>
            </c:strLit>
          </c:cat>
          <c:val>
            <c:numLit>
              <c:formatCode>General</c:formatCode>
              <c:ptCount val="2"/>
            </c:numLit>
          </c:val>
          <c:extLst>
            <c:ext xmlns:c16="http://schemas.microsoft.com/office/drawing/2014/chart" uri="{C3380CC4-5D6E-409C-BE32-E72D297353CC}">
              <c16:uniqueId val="{00000000-8BDC-4E05-84D4-A0CB12D2B233}"/>
            </c:ext>
          </c:extLst>
        </c:ser>
        <c:ser>
          <c:idx val="0"/>
          <c:order val="0"/>
          <c:tx>
            <c:v>موظف اداري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نعم</c:v>
              </c:pt>
              <c:pt idx="1">
                <c:v>لا</c:v>
              </c:pt>
            </c:strLit>
          </c:cat>
          <c:val>
            <c:numLit>
              <c:formatCode>General</c:formatCode>
              <c:ptCount val="2"/>
              <c:pt idx="0">
                <c:v>25</c:v>
              </c:pt>
              <c:pt idx="1">
                <c:v>7</c:v>
              </c:pt>
            </c:numLit>
          </c:val>
          <c:extLst>
            <c:ext xmlns:c16="http://schemas.microsoft.com/office/drawing/2014/chart" uri="{C3380CC4-5D6E-409C-BE32-E72D297353CC}">
              <c16:uniqueId val="{00000001-8BDC-4E05-84D4-A0CB12D2B233}"/>
            </c:ext>
          </c:extLst>
        </c:ser>
        <c:ser>
          <c:idx val="1"/>
          <c:order val="1"/>
          <c:tx>
            <c:v>هيئة معاونة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نعم</c:v>
              </c:pt>
              <c:pt idx="1">
                <c:v>لا</c:v>
              </c:pt>
            </c:strLit>
          </c:cat>
          <c:val>
            <c:numLit>
              <c:formatCode>General</c:formatCode>
              <c:ptCount val="2"/>
              <c:pt idx="0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2-8BDC-4E05-84D4-A0CB12D2B233}"/>
            </c:ext>
          </c:extLst>
        </c:ser>
        <c:ser>
          <c:idx val="2"/>
          <c:order val="2"/>
          <c:tx>
            <c:v>عضو هيئة تدريس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نعم</c:v>
              </c:pt>
              <c:pt idx="1">
                <c:v>لا</c:v>
              </c:pt>
            </c:strLit>
          </c:cat>
          <c:val>
            <c:numLit>
              <c:formatCode>General</c:formatCode>
              <c:ptCount val="2"/>
              <c:pt idx="0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3-8BDC-4E05-84D4-A0CB12D2B2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7013112"/>
        <c:axId val="397794112"/>
      </c:barChart>
      <c:catAx>
        <c:axId val="397013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العلم بالصحة الانجابية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94112"/>
        <c:crosses val="autoZero"/>
        <c:auto val="1"/>
        <c:lblAlgn val="ctr"/>
        <c:lblOffset val="100"/>
        <c:noMultiLvlLbl val="0"/>
      </c:catAx>
      <c:valAx>
        <c:axId val="39779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Count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1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EG" baseline="0"/>
              <a:t>العلم بالصحة الانجابية بالنسبة الي الحالة التعليمية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4"/>
          <c:order val="4"/>
          <c:tx>
            <c:v>الحالة التعليمية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نعم</c:v>
              </c:pt>
              <c:pt idx="1">
                <c:v>لا</c:v>
              </c:pt>
            </c:strLit>
          </c:cat>
          <c:val>
            <c:numLit>
              <c:formatCode>General</c:formatCode>
              <c:ptCount val="2"/>
            </c:numLit>
          </c:val>
          <c:extLst>
            <c:ext xmlns:c16="http://schemas.microsoft.com/office/drawing/2014/chart" uri="{C3380CC4-5D6E-409C-BE32-E72D297353CC}">
              <c16:uniqueId val="{00000000-1C91-439A-B0F8-25D33B3EBA9E}"/>
            </c:ext>
          </c:extLst>
        </c:ser>
        <c:ser>
          <c:idx val="0"/>
          <c:order val="0"/>
          <c:tx>
            <c:v>متوسط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نعم</c:v>
              </c:pt>
              <c:pt idx="1">
                <c:v>لا</c:v>
              </c:pt>
            </c:strLit>
          </c:cat>
          <c:val>
            <c:numLit>
              <c:formatCode>General</c:formatCode>
              <c:ptCount val="2"/>
              <c:pt idx="0">
                <c:v>11</c:v>
              </c:pt>
              <c:pt idx="1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1-1C91-439A-B0F8-25D33B3EBA9E}"/>
            </c:ext>
          </c:extLst>
        </c:ser>
        <c:ser>
          <c:idx val="1"/>
          <c:order val="1"/>
          <c:tx>
            <c:v>فوق متوسط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نعم</c:v>
              </c:pt>
              <c:pt idx="1">
                <c:v>لا</c:v>
              </c:pt>
            </c:strLit>
          </c:cat>
          <c:val>
            <c:numLit>
              <c:formatCode>General</c:formatCode>
              <c:ptCount val="2"/>
              <c:pt idx="0">
                <c:v>3</c:v>
              </c:pt>
              <c:pt idx="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2-1C91-439A-B0F8-25D33B3EBA9E}"/>
            </c:ext>
          </c:extLst>
        </c:ser>
        <c:ser>
          <c:idx val="2"/>
          <c:order val="2"/>
          <c:tx>
            <c:v>تعليم جامعي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نعم</c:v>
              </c:pt>
              <c:pt idx="1">
                <c:v>لا</c:v>
              </c:pt>
            </c:strLit>
          </c:cat>
          <c:val>
            <c:numLit>
              <c:formatCode>General</c:formatCode>
              <c:ptCount val="2"/>
              <c:pt idx="0">
                <c:v>11</c:v>
              </c:pt>
              <c:pt idx="1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3-1C91-439A-B0F8-25D33B3EBA9E}"/>
            </c:ext>
          </c:extLst>
        </c:ser>
        <c:ser>
          <c:idx val="3"/>
          <c:order val="3"/>
          <c:tx>
            <c:v>فوق جامعي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نعم</c:v>
              </c:pt>
              <c:pt idx="1">
                <c:v>لا</c:v>
              </c:pt>
            </c:strLit>
          </c:cat>
          <c:val>
            <c:numLit>
              <c:formatCode>General</c:formatCode>
              <c:ptCount val="2"/>
              <c:pt idx="0">
                <c:v>8</c:v>
              </c:pt>
            </c:numLit>
          </c:val>
          <c:extLst>
            <c:ext xmlns:c16="http://schemas.microsoft.com/office/drawing/2014/chart" uri="{C3380CC4-5D6E-409C-BE32-E72D297353CC}">
              <c16:uniqueId val="{00000004-1C91-439A-B0F8-25D33B3EBA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7013112"/>
        <c:axId val="397794112"/>
      </c:barChart>
      <c:catAx>
        <c:axId val="397013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العلم بالصحة الانجابية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794112"/>
        <c:crosses val="autoZero"/>
        <c:auto val="1"/>
        <c:lblAlgn val="ctr"/>
        <c:lblOffset val="100"/>
        <c:noMultiLvlLbl val="0"/>
      </c:catAx>
      <c:valAx>
        <c:axId val="39779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701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590550</xdr:colOff>
      <xdr:row>1</xdr:row>
      <xdr:rowOff>171450</xdr:rowOff>
    </xdr:from>
    <xdr:to>
      <xdr:col>18</xdr:col>
      <xdr:colOff>495300</xdr:colOff>
      <xdr:row>11</xdr:row>
      <xdr:rowOff>233045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266700</xdr:colOff>
      <xdr:row>1</xdr:row>
      <xdr:rowOff>161925</xdr:rowOff>
    </xdr:from>
    <xdr:to>
      <xdr:col>17</xdr:col>
      <xdr:colOff>38100</xdr:colOff>
      <xdr:row>9</xdr:row>
      <xdr:rowOff>309245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123825</xdr:rowOff>
    </xdr:from>
    <xdr:to>
      <xdr:col>9</xdr:col>
      <xdr:colOff>600075</xdr:colOff>
      <xdr:row>20</xdr:row>
      <xdr:rowOff>175895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明朝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Angsana New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游明朝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Cordia New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42"/>
  <sheetViews>
    <sheetView showGridLines="0" tabSelected="1" workbookViewId="0">
      <selection activeCell="H3" sqref="H3"/>
    </sheetView>
  </sheetViews>
  <sheetFormatPr defaultRowHeight="15" x14ac:dyDescent="0.25"/>
  <cols>
    <col min="1" max="1" width="9.140625" style="2"/>
    <col min="2" max="3" width="8.85546875" style="2" bestFit="1" customWidth="1"/>
    <col min="4" max="4" width="3.85546875" style="2" bestFit="1" customWidth="1"/>
    <col min="5" max="5" width="8.5703125" style="2" bestFit="1" customWidth="1"/>
    <col min="6" max="6" width="8.28515625" style="2" bestFit="1" customWidth="1"/>
    <col min="7" max="7" width="7" style="2" bestFit="1" customWidth="1"/>
    <col min="8" max="20" width="9.140625" style="2"/>
    <col min="21" max="21" width="8.85546875" style="2" bestFit="1" customWidth="1"/>
    <col min="22" max="23" width="9" style="2" bestFit="1" customWidth="1"/>
    <col min="24" max="24" width="22.42578125" style="2" bestFit="1" customWidth="1"/>
    <col min="25" max="25" width="10.85546875" style="2" bestFit="1" customWidth="1"/>
    <col min="26" max="26" width="7" style="2" bestFit="1" customWidth="1"/>
    <col min="27" max="27" width="9" style="2" bestFit="1" customWidth="1"/>
    <col min="28" max="28" width="8.28515625" style="2" bestFit="1" customWidth="1"/>
    <col min="29" max="16384" width="9.140625" style="2"/>
  </cols>
  <sheetData>
    <row r="1" spans="2:29" s="2" customFormat="1" x14ac:dyDescent="0.25"/>
    <row r="2" spans="2:29" s="2" customFormat="1" x14ac:dyDescent="0.25"/>
    <row r="3" spans="2:29" s="2" customFormat="1" ht="18" x14ac:dyDescent="0.25">
      <c r="U3" s="3" t="s">
        <v>13</v>
      </c>
      <c r="V3" s="3"/>
      <c r="W3" s="3"/>
      <c r="X3" s="3"/>
      <c r="Y3" s="3"/>
      <c r="Z3" s="3"/>
      <c r="AA3" s="3"/>
      <c r="AB3" s="3"/>
      <c r="AC3" s="4"/>
    </row>
    <row r="4" spans="2:29" s="2" customFormat="1" ht="18.75" thickBot="1" x14ac:dyDescent="0.3">
      <c r="B4" s="3" t="s">
        <v>6</v>
      </c>
      <c r="C4" s="3"/>
      <c r="D4" s="3"/>
      <c r="E4" s="3"/>
      <c r="F4" s="3"/>
      <c r="G4" s="3"/>
      <c r="H4" s="4"/>
      <c r="U4" s="5" t="s">
        <v>14</v>
      </c>
      <c r="V4" s="5" t="s">
        <v>4</v>
      </c>
      <c r="W4" s="6"/>
      <c r="X4" s="6"/>
      <c r="Y4" s="6"/>
      <c r="Z4" s="6"/>
      <c r="AA4" s="6"/>
      <c r="AB4" s="6"/>
      <c r="AC4" s="4"/>
    </row>
    <row r="5" spans="2:29" s="2" customFormat="1" ht="16.5" thickTop="1" thickBot="1" x14ac:dyDescent="0.3">
      <c r="B5" s="5" t="s">
        <v>4</v>
      </c>
      <c r="C5" s="6"/>
      <c r="D5" s="6"/>
      <c r="E5" s="6"/>
      <c r="F5" s="6"/>
      <c r="G5" s="6"/>
      <c r="H5" s="4"/>
      <c r="J5" s="4"/>
      <c r="U5" s="7" t="s">
        <v>15</v>
      </c>
      <c r="V5" s="8"/>
      <c r="W5" s="9"/>
      <c r="X5" s="10" t="s">
        <v>16</v>
      </c>
      <c r="Y5" s="11" t="s">
        <v>17</v>
      </c>
      <c r="Z5" s="11" t="s">
        <v>2</v>
      </c>
      <c r="AA5" s="11" t="s">
        <v>18</v>
      </c>
      <c r="AB5" s="12"/>
      <c r="AC5" s="4"/>
    </row>
    <row r="6" spans="2:29" s="2" customFormat="1" ht="46.5" thickTop="1" thickBot="1" x14ac:dyDescent="0.3">
      <c r="B6" s="13" t="s">
        <v>5</v>
      </c>
      <c r="C6" s="14" t="s">
        <v>7</v>
      </c>
      <c r="D6" s="15" t="s">
        <v>1</v>
      </c>
      <c r="E6" s="15" t="s">
        <v>8</v>
      </c>
      <c r="F6" s="15" t="s">
        <v>9</v>
      </c>
      <c r="G6" s="16" t="s">
        <v>2</v>
      </c>
      <c r="H6" s="4"/>
      <c r="J6" s="4"/>
      <c r="U6" s="17"/>
      <c r="V6" s="18"/>
      <c r="W6" s="19"/>
      <c r="X6" s="20"/>
      <c r="Y6" s="21"/>
      <c r="Z6" s="21"/>
      <c r="AA6" s="22" t="s">
        <v>19</v>
      </c>
      <c r="AB6" s="23" t="s">
        <v>20</v>
      </c>
      <c r="AC6" s="4"/>
    </row>
    <row r="7" spans="2:29" s="2" customFormat="1" ht="45.75" thickTop="1" x14ac:dyDescent="0.25">
      <c r="B7" s="24" t="s">
        <v>10</v>
      </c>
      <c r="C7" s="25">
        <v>0.6708333333333335</v>
      </c>
      <c r="D7" s="26">
        <v>3</v>
      </c>
      <c r="E7" s="27">
        <v>0.22361111111111118</v>
      </c>
      <c r="F7" s="27">
        <v>1.5771428571428578</v>
      </c>
      <c r="G7" s="28">
        <v>0.21178073904959605</v>
      </c>
      <c r="H7" s="4"/>
      <c r="J7" s="4"/>
      <c r="U7" s="29" t="s">
        <v>21</v>
      </c>
      <c r="V7" s="30" t="s">
        <v>22</v>
      </c>
      <c r="W7" s="31" t="s">
        <v>23</v>
      </c>
      <c r="X7" s="32">
        <v>6.25E-2</v>
      </c>
      <c r="Y7" s="33">
        <v>0.21049228564205105</v>
      </c>
      <c r="Z7" s="27">
        <v>0.99073932843403612</v>
      </c>
      <c r="AA7" s="34">
        <v>-0.50440354141558486</v>
      </c>
      <c r="AB7" s="35">
        <v>0.62940354141558486</v>
      </c>
      <c r="AC7" s="4"/>
    </row>
    <row r="8" spans="2:29" s="2" customFormat="1" ht="30" x14ac:dyDescent="0.25">
      <c r="B8" s="36" t="s">
        <v>11</v>
      </c>
      <c r="C8" s="37">
        <v>5.1041666666666661</v>
      </c>
      <c r="D8" s="38">
        <v>36</v>
      </c>
      <c r="E8" s="39">
        <v>0.14178240740740738</v>
      </c>
      <c r="F8" s="40"/>
      <c r="G8" s="41"/>
      <c r="H8" s="4"/>
      <c r="J8" s="4"/>
      <c r="U8" s="42"/>
      <c r="V8" s="43"/>
      <c r="W8" s="44" t="s">
        <v>24</v>
      </c>
      <c r="X8" s="45">
        <v>0.22916666666666674</v>
      </c>
      <c r="Y8" s="46">
        <v>0.14379360583922676</v>
      </c>
      <c r="Z8" s="39">
        <v>0.39487560754802398</v>
      </c>
      <c r="AA8" s="47">
        <v>-0.15810217852890895</v>
      </c>
      <c r="AB8" s="48">
        <v>0.61643551186224244</v>
      </c>
      <c r="AC8" s="4"/>
    </row>
    <row r="9" spans="2:29" s="2" customFormat="1" ht="30.75" thickBot="1" x14ac:dyDescent="0.3">
      <c r="B9" s="49" t="s">
        <v>12</v>
      </c>
      <c r="C9" s="50">
        <v>5.7749999999999995</v>
      </c>
      <c r="D9" s="51">
        <v>39</v>
      </c>
      <c r="E9" s="52"/>
      <c r="F9" s="52"/>
      <c r="G9" s="53"/>
      <c r="H9" s="4"/>
      <c r="J9" s="4"/>
      <c r="U9" s="42"/>
      <c r="V9" s="54"/>
      <c r="W9" s="55" t="s">
        <v>25</v>
      </c>
      <c r="X9" s="56">
        <v>0.3125</v>
      </c>
      <c r="Y9" s="57">
        <v>0.16304662335935965</v>
      </c>
      <c r="Z9" s="58">
        <v>0.23921217526983574</v>
      </c>
      <c r="AA9" s="59">
        <v>-0.12662159496171327</v>
      </c>
      <c r="AB9" s="60">
        <v>0.75162159496171332</v>
      </c>
      <c r="AC9" s="4"/>
    </row>
    <row r="10" spans="2:29" s="2" customFormat="1" ht="15.75" thickTop="1" x14ac:dyDescent="0.25">
      <c r="J10" s="4"/>
      <c r="U10" s="42"/>
      <c r="V10" s="54" t="s">
        <v>23</v>
      </c>
      <c r="W10" s="44" t="s">
        <v>22</v>
      </c>
      <c r="X10" s="45">
        <v>-6.25E-2</v>
      </c>
      <c r="Y10" s="46">
        <v>0.21049228564205105</v>
      </c>
      <c r="Z10" s="39">
        <v>0.99073932843403612</v>
      </c>
      <c r="AA10" s="47">
        <v>-0.62940354141558486</v>
      </c>
      <c r="AB10" s="48">
        <v>0.50440354141558486</v>
      </c>
      <c r="AC10" s="4"/>
    </row>
    <row r="11" spans="2:29" s="2" customFormat="1" ht="30" x14ac:dyDescent="0.25">
      <c r="J11" s="4"/>
      <c r="U11" s="42"/>
      <c r="V11" s="43"/>
      <c r="W11" s="44" t="s">
        <v>24</v>
      </c>
      <c r="X11" s="45">
        <v>0.16666666666666674</v>
      </c>
      <c r="Y11" s="46">
        <v>0.21739549781247952</v>
      </c>
      <c r="Z11" s="39">
        <v>0.86888731769739114</v>
      </c>
      <c r="AA11" s="47">
        <v>-0.41882879328228428</v>
      </c>
      <c r="AB11" s="48">
        <v>0.75216212661561777</v>
      </c>
      <c r="AC11" s="4"/>
    </row>
    <row r="12" spans="2:29" s="2" customFormat="1" ht="30.75" thickBot="1" x14ac:dyDescent="0.3">
      <c r="C12" s="3" t="s">
        <v>4</v>
      </c>
      <c r="D12" s="3"/>
      <c r="E12" s="3"/>
      <c r="F12" s="3"/>
      <c r="G12" s="4"/>
      <c r="J12" s="4"/>
      <c r="U12" s="42"/>
      <c r="V12" s="54"/>
      <c r="W12" s="55" t="s">
        <v>25</v>
      </c>
      <c r="X12" s="56">
        <v>0.25</v>
      </c>
      <c r="Y12" s="57">
        <v>0.2305827460539443</v>
      </c>
      <c r="Z12" s="58">
        <v>0.7012591853294412</v>
      </c>
      <c r="AA12" s="59">
        <v>-0.37101171512575992</v>
      </c>
      <c r="AB12" s="60">
        <v>0.87101171512575992</v>
      </c>
      <c r="AC12" s="4"/>
    </row>
    <row r="13" spans="2:29" s="2" customFormat="1" ht="60.75" thickTop="1" x14ac:dyDescent="0.25">
      <c r="C13" s="7" t="s">
        <v>28</v>
      </c>
      <c r="D13" s="9"/>
      <c r="E13" s="10" t="s">
        <v>29</v>
      </c>
      <c r="F13" s="61" t="s">
        <v>30</v>
      </c>
      <c r="G13" s="4"/>
      <c r="J13" s="4"/>
      <c r="U13" s="42"/>
      <c r="V13" s="54" t="s">
        <v>24</v>
      </c>
      <c r="W13" s="44" t="s">
        <v>22</v>
      </c>
      <c r="X13" s="45">
        <v>-0.22916666666666674</v>
      </c>
      <c r="Y13" s="46">
        <v>0.14379360583922676</v>
      </c>
      <c r="Z13" s="39">
        <v>0.39487560754802398</v>
      </c>
      <c r="AA13" s="47">
        <v>-0.61643551186224244</v>
      </c>
      <c r="AB13" s="48">
        <v>0.15810217852890895</v>
      </c>
      <c r="AC13" s="4"/>
    </row>
    <row r="14" spans="2:29" s="2" customFormat="1" ht="30.75" thickBot="1" x14ac:dyDescent="0.3">
      <c r="C14" s="17"/>
      <c r="D14" s="19"/>
      <c r="E14" s="20"/>
      <c r="F14" s="62" t="s">
        <v>31</v>
      </c>
      <c r="G14" s="4"/>
      <c r="J14" s="4"/>
      <c r="U14" s="42"/>
      <c r="V14" s="43"/>
      <c r="W14" s="44" t="s">
        <v>23</v>
      </c>
      <c r="X14" s="45">
        <v>-0.16666666666666674</v>
      </c>
      <c r="Y14" s="46">
        <v>0.21739549781247952</v>
      </c>
      <c r="Z14" s="39">
        <v>0.86888731769739114</v>
      </c>
      <c r="AA14" s="47">
        <v>-0.75216212661561777</v>
      </c>
      <c r="AB14" s="48">
        <v>0.41882879328228428</v>
      </c>
      <c r="AC14" s="4"/>
    </row>
    <row r="15" spans="2:29" s="2" customFormat="1" ht="60.75" thickTop="1" x14ac:dyDescent="0.25">
      <c r="C15" s="29" t="s">
        <v>35</v>
      </c>
      <c r="D15" s="31" t="s">
        <v>25</v>
      </c>
      <c r="E15" s="63">
        <v>8</v>
      </c>
      <c r="F15" s="35">
        <v>1</v>
      </c>
      <c r="G15" s="4"/>
      <c r="J15" s="4"/>
      <c r="U15" s="42"/>
      <c r="V15" s="54"/>
      <c r="W15" s="55" t="s">
        <v>25</v>
      </c>
      <c r="X15" s="56">
        <v>8.3333333333333259E-2</v>
      </c>
      <c r="Y15" s="57">
        <v>0.17186623153839695</v>
      </c>
      <c r="Z15" s="58">
        <v>0.96196895348896494</v>
      </c>
      <c r="AA15" s="59">
        <v>-0.37954146994831123</v>
      </c>
      <c r="AB15" s="60">
        <v>0.5462081366149778</v>
      </c>
      <c r="AC15" s="4"/>
    </row>
    <row r="16" spans="2:29" s="2" customFormat="1" ht="60" x14ac:dyDescent="0.25">
      <c r="C16" s="42"/>
      <c r="D16" s="44" t="s">
        <v>24</v>
      </c>
      <c r="E16" s="64">
        <v>12</v>
      </c>
      <c r="F16" s="48">
        <v>1.0833333333333333</v>
      </c>
      <c r="G16" s="4"/>
      <c r="J16" s="4"/>
      <c r="U16" s="42"/>
      <c r="V16" s="54" t="s">
        <v>25</v>
      </c>
      <c r="W16" s="44" t="s">
        <v>22</v>
      </c>
      <c r="X16" s="45">
        <v>-0.3125</v>
      </c>
      <c r="Y16" s="46">
        <v>0.16304662335935965</v>
      </c>
      <c r="Z16" s="39">
        <v>0.23921217526983574</v>
      </c>
      <c r="AA16" s="47">
        <v>-0.75162159496171332</v>
      </c>
      <c r="AB16" s="48">
        <v>0.12662159496171327</v>
      </c>
      <c r="AC16" s="4"/>
    </row>
    <row r="17" spans="3:29" s="2" customFormat="1" ht="60" x14ac:dyDescent="0.25">
      <c r="C17" s="42"/>
      <c r="D17" s="44" t="s">
        <v>23</v>
      </c>
      <c r="E17" s="64">
        <v>4</v>
      </c>
      <c r="F17" s="48">
        <v>1.25</v>
      </c>
      <c r="G17" s="4"/>
      <c r="J17" s="4"/>
      <c r="U17" s="42"/>
      <c r="V17" s="43"/>
      <c r="W17" s="44" t="s">
        <v>23</v>
      </c>
      <c r="X17" s="45">
        <v>-0.25</v>
      </c>
      <c r="Y17" s="46">
        <v>0.2305827460539443</v>
      </c>
      <c r="Z17" s="39">
        <v>0.7012591853294412</v>
      </c>
      <c r="AA17" s="47">
        <v>-0.87101171512575992</v>
      </c>
      <c r="AB17" s="48">
        <v>0.37101171512575992</v>
      </c>
      <c r="AC17" s="4"/>
    </row>
    <row r="18" spans="3:29" s="2" customFormat="1" ht="30" x14ac:dyDescent="0.25">
      <c r="C18" s="42"/>
      <c r="D18" s="44" t="s">
        <v>22</v>
      </c>
      <c r="E18" s="64">
        <v>16</v>
      </c>
      <c r="F18" s="48">
        <v>1.3125</v>
      </c>
      <c r="G18" s="4"/>
      <c r="J18" s="4"/>
      <c r="U18" s="65"/>
      <c r="V18" s="54"/>
      <c r="W18" s="55" t="s">
        <v>24</v>
      </c>
      <c r="X18" s="56">
        <v>-8.3333333333333259E-2</v>
      </c>
      <c r="Y18" s="57">
        <v>0.17186623153839695</v>
      </c>
      <c r="Z18" s="58">
        <v>0.96196895348896494</v>
      </c>
      <c r="AA18" s="59">
        <v>-0.5462081366149778</v>
      </c>
      <c r="AB18" s="60">
        <v>0.37954146994831123</v>
      </c>
      <c r="AC18" s="4"/>
    </row>
    <row r="19" spans="3:29" s="2" customFormat="1" ht="30" x14ac:dyDescent="0.25">
      <c r="C19" s="65"/>
      <c r="D19" s="55" t="s">
        <v>2</v>
      </c>
      <c r="E19" s="66"/>
      <c r="F19" s="67">
        <v>0.37711840179249523</v>
      </c>
      <c r="G19" s="4"/>
      <c r="J19" s="4"/>
      <c r="U19" s="65" t="s">
        <v>26</v>
      </c>
      <c r="V19" s="54" t="s">
        <v>22</v>
      </c>
      <c r="W19" s="44" t="s">
        <v>23</v>
      </c>
      <c r="X19" s="45">
        <v>6.25E-2</v>
      </c>
      <c r="Y19" s="46">
        <v>0.21049228564205105</v>
      </c>
      <c r="Z19" s="39">
        <v>0.99309386759416296</v>
      </c>
      <c r="AA19" s="47">
        <v>-0.55474136543263297</v>
      </c>
      <c r="AB19" s="48">
        <v>0.67974136543263297</v>
      </c>
      <c r="AC19" s="4"/>
    </row>
    <row r="20" spans="3:29" s="2" customFormat="1" ht="60" x14ac:dyDescent="0.25">
      <c r="C20" s="65" t="s">
        <v>36</v>
      </c>
      <c r="D20" s="44" t="s">
        <v>25</v>
      </c>
      <c r="E20" s="64">
        <v>8</v>
      </c>
      <c r="F20" s="48">
        <v>1</v>
      </c>
      <c r="G20" s="4"/>
      <c r="J20" s="4"/>
      <c r="U20" s="42"/>
      <c r="V20" s="43"/>
      <c r="W20" s="44" t="s">
        <v>24</v>
      </c>
      <c r="X20" s="45">
        <v>0.22916666666666674</v>
      </c>
      <c r="Y20" s="46">
        <v>0.14379360583922676</v>
      </c>
      <c r="Z20" s="39">
        <v>0.47749103616667676</v>
      </c>
      <c r="AA20" s="47">
        <v>-0.1924894588201243</v>
      </c>
      <c r="AB20" s="48">
        <v>0.65082279215345773</v>
      </c>
      <c r="AC20" s="4"/>
    </row>
    <row r="21" spans="3:29" s="2" customFormat="1" ht="60" x14ac:dyDescent="0.25">
      <c r="C21" s="42"/>
      <c r="D21" s="44" t="s">
        <v>24</v>
      </c>
      <c r="E21" s="64">
        <v>12</v>
      </c>
      <c r="F21" s="48">
        <v>1.0833333333333333</v>
      </c>
      <c r="G21" s="4"/>
      <c r="U21" s="42"/>
      <c r="V21" s="54"/>
      <c r="W21" s="55" t="s">
        <v>25</v>
      </c>
      <c r="X21" s="56">
        <v>0.3125</v>
      </c>
      <c r="Y21" s="57">
        <v>0.16304662335935965</v>
      </c>
      <c r="Z21" s="58">
        <v>0.3149049769296266</v>
      </c>
      <c r="AA21" s="59">
        <v>-0.16561310578218269</v>
      </c>
      <c r="AB21" s="60">
        <v>0.79061310578218269</v>
      </c>
      <c r="AC21" s="4"/>
    </row>
    <row r="22" spans="3:29" s="2" customFormat="1" ht="60" x14ac:dyDescent="0.25">
      <c r="C22" s="42"/>
      <c r="D22" s="44" t="s">
        <v>23</v>
      </c>
      <c r="E22" s="64">
        <v>4</v>
      </c>
      <c r="F22" s="48">
        <v>1.25</v>
      </c>
      <c r="G22" s="4"/>
      <c r="U22" s="42"/>
      <c r="V22" s="54" t="s">
        <v>23</v>
      </c>
      <c r="W22" s="44" t="s">
        <v>22</v>
      </c>
      <c r="X22" s="45">
        <v>-6.25E-2</v>
      </c>
      <c r="Y22" s="46">
        <v>0.21049228564205105</v>
      </c>
      <c r="Z22" s="39">
        <v>0.99309386759416296</v>
      </c>
      <c r="AA22" s="47">
        <v>-0.67974136543263297</v>
      </c>
      <c r="AB22" s="48">
        <v>0.55474136543263297</v>
      </c>
      <c r="AC22" s="4"/>
    </row>
    <row r="23" spans="3:29" s="2" customFormat="1" ht="30" x14ac:dyDescent="0.25">
      <c r="C23" s="42"/>
      <c r="D23" s="44" t="s">
        <v>22</v>
      </c>
      <c r="E23" s="64">
        <v>16</v>
      </c>
      <c r="F23" s="48">
        <v>1.3125</v>
      </c>
      <c r="G23" s="4"/>
      <c r="U23" s="42"/>
      <c r="V23" s="43"/>
      <c r="W23" s="44" t="s">
        <v>24</v>
      </c>
      <c r="X23" s="45">
        <v>0.16666666666666674</v>
      </c>
      <c r="Y23" s="46">
        <v>0.21739549781247952</v>
      </c>
      <c r="Z23" s="39">
        <v>0.89848897886236001</v>
      </c>
      <c r="AA23" s="47">
        <v>-0.47081747437624355</v>
      </c>
      <c r="AB23" s="48">
        <v>0.80415080770957703</v>
      </c>
      <c r="AC23" s="4"/>
    </row>
    <row r="24" spans="3:29" s="2" customFormat="1" ht="30.75" thickBot="1" x14ac:dyDescent="0.3">
      <c r="C24" s="17"/>
      <c r="D24" s="68" t="s">
        <v>2</v>
      </c>
      <c r="E24" s="69"/>
      <c r="F24" s="70">
        <v>0.45975847038387585</v>
      </c>
      <c r="G24" s="4"/>
      <c r="U24" s="42"/>
      <c r="V24" s="54"/>
      <c r="W24" s="55" t="s">
        <v>25</v>
      </c>
      <c r="X24" s="56">
        <v>0.25</v>
      </c>
      <c r="Y24" s="57">
        <v>0.2305827460539443</v>
      </c>
      <c r="Z24" s="58">
        <v>0.75959153032789373</v>
      </c>
      <c r="AA24" s="59">
        <v>-0.42615403854548506</v>
      </c>
      <c r="AB24" s="60">
        <v>0.92615403854548506</v>
      </c>
      <c r="AC24" s="4"/>
    </row>
    <row r="25" spans="3:29" s="2" customFormat="1" ht="15.75" thickTop="1" x14ac:dyDescent="0.25">
      <c r="C25" s="43" t="s">
        <v>32</v>
      </c>
      <c r="D25" s="43"/>
      <c r="E25" s="43"/>
      <c r="F25" s="43"/>
      <c r="G25" s="4"/>
      <c r="U25" s="42"/>
      <c r="V25" s="54" t="s">
        <v>24</v>
      </c>
      <c r="W25" s="44" t="s">
        <v>22</v>
      </c>
      <c r="X25" s="45">
        <v>-0.22916666666666674</v>
      </c>
      <c r="Y25" s="46">
        <v>0.14379360583922676</v>
      </c>
      <c r="Z25" s="39">
        <v>0.47749103616667676</v>
      </c>
      <c r="AA25" s="47">
        <v>-0.65082279215345773</v>
      </c>
      <c r="AB25" s="48">
        <v>0.1924894588201243</v>
      </c>
      <c r="AC25" s="4"/>
    </row>
    <row r="26" spans="3:29" s="2" customFormat="1" ht="30" x14ac:dyDescent="0.25">
      <c r="C26" s="43" t="s">
        <v>33</v>
      </c>
      <c r="D26" s="43"/>
      <c r="E26" s="43"/>
      <c r="F26" s="43"/>
      <c r="G26" s="4"/>
      <c r="U26" s="42"/>
      <c r="V26" s="43"/>
      <c r="W26" s="44" t="s">
        <v>23</v>
      </c>
      <c r="X26" s="45">
        <v>-0.16666666666666674</v>
      </c>
      <c r="Y26" s="46">
        <v>0.21739549781247952</v>
      </c>
      <c r="Z26" s="39">
        <v>0.89848897886236001</v>
      </c>
      <c r="AA26" s="47">
        <v>-0.80415080770957703</v>
      </c>
      <c r="AB26" s="48">
        <v>0.47081747437624355</v>
      </c>
      <c r="AC26" s="4"/>
    </row>
    <row r="27" spans="3:29" s="2" customFormat="1" ht="30" x14ac:dyDescent="0.25">
      <c r="C27" s="43" t="s">
        <v>34</v>
      </c>
      <c r="D27" s="43"/>
      <c r="E27" s="43"/>
      <c r="F27" s="43"/>
      <c r="G27" s="4"/>
      <c r="U27" s="42"/>
      <c r="V27" s="54"/>
      <c r="W27" s="55" t="s">
        <v>25</v>
      </c>
      <c r="X27" s="56">
        <v>8.3333333333333259E-2</v>
      </c>
      <c r="Y27" s="57">
        <v>0.17186623153839695</v>
      </c>
      <c r="Z27" s="58">
        <v>0.97131061788185191</v>
      </c>
      <c r="AA27" s="59">
        <v>-0.42064213114957261</v>
      </c>
      <c r="AB27" s="60">
        <v>0.58730879781623913</v>
      </c>
      <c r="AC27" s="4"/>
    </row>
    <row r="28" spans="3:29" s="2" customFormat="1" x14ac:dyDescent="0.25">
      <c r="U28" s="42"/>
      <c r="V28" s="54" t="s">
        <v>25</v>
      </c>
      <c r="W28" s="44" t="s">
        <v>22</v>
      </c>
      <c r="X28" s="45">
        <v>-0.3125</v>
      </c>
      <c r="Y28" s="46">
        <v>0.16304662335935965</v>
      </c>
      <c r="Z28" s="39">
        <v>0.3149049769296266</v>
      </c>
      <c r="AA28" s="47">
        <v>-0.79061310578218269</v>
      </c>
      <c r="AB28" s="48">
        <v>0.16561310578218269</v>
      </c>
      <c r="AC28" s="4"/>
    </row>
    <row r="29" spans="3:29" s="2" customFormat="1" ht="30" x14ac:dyDescent="0.25">
      <c r="U29" s="42"/>
      <c r="V29" s="43"/>
      <c r="W29" s="44" t="s">
        <v>23</v>
      </c>
      <c r="X29" s="45">
        <v>-0.25</v>
      </c>
      <c r="Y29" s="46">
        <v>0.2305827460539443</v>
      </c>
      <c r="Z29" s="39">
        <v>0.75959153032789373</v>
      </c>
      <c r="AA29" s="47">
        <v>-0.92615403854548506</v>
      </c>
      <c r="AB29" s="48">
        <v>0.42615403854548506</v>
      </c>
      <c r="AC29" s="4"/>
    </row>
    <row r="30" spans="3:29" s="2" customFormat="1" ht="30" x14ac:dyDescent="0.25">
      <c r="U30" s="65"/>
      <c r="V30" s="54"/>
      <c r="W30" s="55" t="s">
        <v>24</v>
      </c>
      <c r="X30" s="56">
        <v>-8.3333333333333259E-2</v>
      </c>
      <c r="Y30" s="57">
        <v>0.17186623153839695</v>
      </c>
      <c r="Z30" s="58">
        <v>0.97131061788185191</v>
      </c>
      <c r="AA30" s="59">
        <v>-0.58730879781623913</v>
      </c>
      <c r="AB30" s="60">
        <v>0.42064213114957261</v>
      </c>
      <c r="AC30" s="4"/>
    </row>
    <row r="31" spans="3:29" s="2" customFormat="1" ht="30" x14ac:dyDescent="0.25">
      <c r="U31" s="65" t="s">
        <v>27</v>
      </c>
      <c r="V31" s="54" t="s">
        <v>22</v>
      </c>
      <c r="W31" s="44" t="s">
        <v>23</v>
      </c>
      <c r="X31" s="45">
        <v>6.25E-2</v>
      </c>
      <c r="Y31" s="46">
        <v>0.27716947282604315</v>
      </c>
      <c r="Z31" s="40"/>
      <c r="AA31" s="47">
        <v>-1.1745954304862627</v>
      </c>
      <c r="AB31" s="48">
        <v>1.2995954304862627</v>
      </c>
      <c r="AC31" s="4"/>
    </row>
    <row r="32" spans="3:29" s="2" customFormat="1" ht="30" x14ac:dyDescent="0.25">
      <c r="U32" s="42"/>
      <c r="V32" s="43"/>
      <c r="W32" s="44" t="s">
        <v>24</v>
      </c>
      <c r="X32" s="45">
        <v>0.22916666666666674</v>
      </c>
      <c r="Y32" s="46">
        <v>0.14583333333333334</v>
      </c>
      <c r="Z32" s="40"/>
      <c r="AA32" s="47">
        <v>-0.19721330755896943</v>
      </c>
      <c r="AB32" s="48">
        <v>0.65554664089230297</v>
      </c>
      <c r="AC32" s="4"/>
    </row>
    <row r="33" spans="21:29" s="2" customFormat="1" ht="30" x14ac:dyDescent="0.25">
      <c r="U33" s="42"/>
      <c r="V33" s="54"/>
      <c r="W33" s="55" t="s">
        <v>25</v>
      </c>
      <c r="X33" s="56">
        <v>0.3125</v>
      </c>
      <c r="Y33" s="57">
        <v>0.11967838846954226</v>
      </c>
      <c r="Z33" s="71"/>
      <c r="AA33" s="59">
        <v>-3.243090805013471E-2</v>
      </c>
      <c r="AB33" s="60">
        <v>0.65743090805013471</v>
      </c>
      <c r="AC33" s="4"/>
    </row>
    <row r="34" spans="21:29" s="2" customFormat="1" x14ac:dyDescent="0.25">
      <c r="U34" s="42"/>
      <c r="V34" s="54" t="s">
        <v>23</v>
      </c>
      <c r="W34" s="44" t="s">
        <v>22</v>
      </c>
      <c r="X34" s="45">
        <v>-6.25E-2</v>
      </c>
      <c r="Y34" s="46">
        <v>0.27716947282604315</v>
      </c>
      <c r="Z34" s="40"/>
      <c r="AA34" s="47">
        <v>-1.2995954304862627</v>
      </c>
      <c r="AB34" s="48">
        <v>1.1745954304862627</v>
      </c>
      <c r="AC34" s="4"/>
    </row>
    <row r="35" spans="21:29" s="2" customFormat="1" ht="30" x14ac:dyDescent="0.25">
      <c r="U35" s="42"/>
      <c r="V35" s="43"/>
      <c r="W35" s="44" t="s">
        <v>24</v>
      </c>
      <c r="X35" s="45">
        <v>0.16666666666666674</v>
      </c>
      <c r="Y35" s="46">
        <v>0.2635231383473649</v>
      </c>
      <c r="Z35" s="40"/>
      <c r="AA35" s="47">
        <v>-1.0571497800266276</v>
      </c>
      <c r="AB35" s="48">
        <v>1.3904831133599611</v>
      </c>
      <c r="AC35" s="4"/>
    </row>
    <row r="36" spans="21:29" s="2" customFormat="1" ht="30" x14ac:dyDescent="0.25">
      <c r="U36" s="42"/>
      <c r="V36" s="54"/>
      <c r="W36" s="55" t="s">
        <v>25</v>
      </c>
      <c r="X36" s="56">
        <v>0.25</v>
      </c>
      <c r="Y36" s="57">
        <v>0.24999999999999997</v>
      </c>
      <c r="Z36" s="71"/>
      <c r="AA36" s="59">
        <v>-0.95641725237843311</v>
      </c>
      <c r="AB36" s="60">
        <v>1.4564172523784331</v>
      </c>
      <c r="AC36" s="4"/>
    </row>
    <row r="37" spans="21:29" s="2" customFormat="1" x14ac:dyDescent="0.25">
      <c r="U37" s="42"/>
      <c r="V37" s="54" t="s">
        <v>24</v>
      </c>
      <c r="W37" s="44" t="s">
        <v>22</v>
      </c>
      <c r="X37" s="45">
        <v>-0.22916666666666674</v>
      </c>
      <c r="Y37" s="46">
        <v>0.14583333333333334</v>
      </c>
      <c r="Z37" s="40"/>
      <c r="AA37" s="47">
        <v>-0.65554664089230297</v>
      </c>
      <c r="AB37" s="48">
        <v>0.19721330755896943</v>
      </c>
      <c r="AC37" s="4"/>
    </row>
    <row r="38" spans="21:29" s="2" customFormat="1" ht="30" x14ac:dyDescent="0.25">
      <c r="U38" s="42"/>
      <c r="V38" s="43"/>
      <c r="W38" s="44" t="s">
        <v>23</v>
      </c>
      <c r="X38" s="45">
        <v>-0.16666666666666674</v>
      </c>
      <c r="Y38" s="46">
        <v>0.2635231383473649</v>
      </c>
      <c r="Z38" s="40"/>
      <c r="AA38" s="47">
        <v>-1.3904831133599611</v>
      </c>
      <c r="AB38" s="48">
        <v>1.0571497800266276</v>
      </c>
      <c r="AC38" s="4"/>
    </row>
    <row r="39" spans="21:29" s="2" customFormat="1" ht="30" x14ac:dyDescent="0.25">
      <c r="U39" s="42"/>
      <c r="V39" s="54"/>
      <c r="W39" s="55" t="s">
        <v>25</v>
      </c>
      <c r="X39" s="56">
        <v>8.3333333333333259E-2</v>
      </c>
      <c r="Y39" s="57">
        <v>8.3333333333333329E-2</v>
      </c>
      <c r="Z39" s="71"/>
      <c r="AA39" s="59">
        <v>-0.16746231905621828</v>
      </c>
      <c r="AB39" s="60">
        <v>0.3341289857228848</v>
      </c>
      <c r="AC39" s="4"/>
    </row>
    <row r="40" spans="21:29" s="2" customFormat="1" x14ac:dyDescent="0.25">
      <c r="U40" s="42"/>
      <c r="V40" s="54" t="s">
        <v>25</v>
      </c>
      <c r="W40" s="44" t="s">
        <v>22</v>
      </c>
      <c r="X40" s="45">
        <v>-0.3125</v>
      </c>
      <c r="Y40" s="46">
        <v>0.11967838846954226</v>
      </c>
      <c r="Z40" s="40"/>
      <c r="AA40" s="47">
        <v>-0.65743090805013471</v>
      </c>
      <c r="AB40" s="48">
        <v>3.243090805013471E-2</v>
      </c>
      <c r="AC40" s="4"/>
    </row>
    <row r="41" spans="21:29" s="2" customFormat="1" ht="30" x14ac:dyDescent="0.25">
      <c r="U41" s="42"/>
      <c r="V41" s="43"/>
      <c r="W41" s="44" t="s">
        <v>23</v>
      </c>
      <c r="X41" s="45">
        <v>-0.25</v>
      </c>
      <c r="Y41" s="46">
        <v>0.24999999999999997</v>
      </c>
      <c r="Z41" s="40"/>
      <c r="AA41" s="47">
        <v>-1.4564172523784331</v>
      </c>
      <c r="AB41" s="48">
        <v>0.95641725237843311</v>
      </c>
      <c r="AC41" s="4"/>
    </row>
    <row r="42" spans="21:29" s="2" customFormat="1" ht="30.75" thickBot="1" x14ac:dyDescent="0.3">
      <c r="U42" s="17"/>
      <c r="V42" s="18"/>
      <c r="W42" s="68" t="s">
        <v>24</v>
      </c>
      <c r="X42" s="72">
        <v>-8.3333333333333259E-2</v>
      </c>
      <c r="Y42" s="73">
        <v>8.3333333333333329E-2</v>
      </c>
      <c r="Z42" s="52"/>
      <c r="AA42" s="74">
        <v>-0.3341289857228848</v>
      </c>
      <c r="AB42" s="75">
        <v>0.16746231905621828</v>
      </c>
      <c r="AC42" s="4"/>
    </row>
  </sheetData>
  <mergeCells count="32">
    <mergeCell ref="C12:F12"/>
    <mergeCell ref="C13:D14"/>
    <mergeCell ref="E13:E14"/>
    <mergeCell ref="C15:C19"/>
    <mergeCell ref="C20:C24"/>
    <mergeCell ref="C25:F25"/>
    <mergeCell ref="C26:F26"/>
    <mergeCell ref="C27:F27"/>
    <mergeCell ref="U31:U42"/>
    <mergeCell ref="V31:V33"/>
    <mergeCell ref="V34:V36"/>
    <mergeCell ref="V37:V39"/>
    <mergeCell ref="V40:V42"/>
    <mergeCell ref="U7:U18"/>
    <mergeCell ref="V7:V9"/>
    <mergeCell ref="V10:V12"/>
    <mergeCell ref="V13:V15"/>
    <mergeCell ref="V16:V18"/>
    <mergeCell ref="U19:U30"/>
    <mergeCell ref="V19:V21"/>
    <mergeCell ref="V22:V24"/>
    <mergeCell ref="V25:V27"/>
    <mergeCell ref="V28:V30"/>
    <mergeCell ref="U3:AB3"/>
    <mergeCell ref="U4:AB4"/>
    <mergeCell ref="U5:W6"/>
    <mergeCell ref="X5:X6"/>
    <mergeCell ref="Y5:Y6"/>
    <mergeCell ref="Z5:Z6"/>
    <mergeCell ref="AA5:AB5"/>
    <mergeCell ref="B4:G4"/>
    <mergeCell ref="B5:G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31"/>
  <sheetViews>
    <sheetView showGridLines="0" zoomScale="50" zoomScaleNormal="50" workbookViewId="0">
      <selection activeCell="H1" sqref="H1"/>
    </sheetView>
  </sheetViews>
  <sheetFormatPr defaultColWidth="15.7109375" defaultRowHeight="45" customHeight="1" x14ac:dyDescent="0.25"/>
  <cols>
    <col min="1" max="16384" width="15.7109375" style="1"/>
  </cols>
  <sheetData>
    <row r="2" spans="1:24" ht="45" customHeight="1" thickBot="1" x14ac:dyDescent="0.3">
      <c r="A2" s="76" t="s">
        <v>37</v>
      </c>
      <c r="B2" s="76"/>
      <c r="C2" s="76"/>
      <c r="D2" s="76"/>
      <c r="E2" s="76"/>
      <c r="F2" s="76"/>
      <c r="G2" s="76"/>
      <c r="H2" s="86"/>
    </row>
    <row r="3" spans="1:24" ht="45" customHeight="1" thickTop="1" x14ac:dyDescent="0.25">
      <c r="A3" s="87" t="s">
        <v>5</v>
      </c>
      <c r="B3" s="88"/>
      <c r="C3" s="89"/>
      <c r="D3" s="77" t="s">
        <v>3</v>
      </c>
      <c r="E3" s="78"/>
      <c r="F3" s="78"/>
      <c r="G3" s="79" t="s">
        <v>12</v>
      </c>
      <c r="H3" s="86"/>
    </row>
    <row r="4" spans="1:24" ht="45" customHeight="1" thickBot="1" x14ac:dyDescent="0.3">
      <c r="A4" s="90"/>
      <c r="B4" s="91"/>
      <c r="C4" s="92"/>
      <c r="D4" s="80" t="s">
        <v>38</v>
      </c>
      <c r="E4" s="81" t="s">
        <v>39</v>
      </c>
      <c r="F4" s="81" t="s">
        <v>40</v>
      </c>
      <c r="G4" s="82"/>
      <c r="H4" s="86"/>
      <c r="S4" s="76" t="s">
        <v>56</v>
      </c>
      <c r="T4" s="76"/>
      <c r="U4" s="76"/>
      <c r="V4" s="76"/>
      <c r="W4" s="76"/>
      <c r="X4" s="86"/>
    </row>
    <row r="5" spans="1:24" ht="45" customHeight="1" thickTop="1" thickBot="1" x14ac:dyDescent="0.3">
      <c r="A5" s="93" t="s">
        <v>4</v>
      </c>
      <c r="B5" s="94" t="s">
        <v>41</v>
      </c>
      <c r="C5" s="95" t="s">
        <v>42</v>
      </c>
      <c r="D5" s="96">
        <v>25</v>
      </c>
      <c r="E5" s="97">
        <v>3</v>
      </c>
      <c r="F5" s="97">
        <v>5</v>
      </c>
      <c r="G5" s="98">
        <v>33</v>
      </c>
      <c r="H5" s="86"/>
      <c r="S5" s="99" t="s">
        <v>5</v>
      </c>
      <c r="T5" s="100"/>
      <c r="U5" s="101"/>
      <c r="V5" s="83" t="s">
        <v>0</v>
      </c>
      <c r="W5" s="84" t="s">
        <v>17</v>
      </c>
      <c r="X5" s="86"/>
    </row>
    <row r="6" spans="1:24" ht="45" customHeight="1" thickTop="1" x14ac:dyDescent="0.25">
      <c r="A6" s="102"/>
      <c r="B6" s="103"/>
      <c r="C6" s="104" t="s">
        <v>43</v>
      </c>
      <c r="D6" s="105">
        <v>0.75757575757575746</v>
      </c>
      <c r="E6" s="106">
        <v>9.0909090909090912E-2</v>
      </c>
      <c r="F6" s="106">
        <v>0.15151515151515152</v>
      </c>
      <c r="G6" s="107">
        <v>1</v>
      </c>
      <c r="H6" s="86"/>
      <c r="S6" s="93" t="s">
        <v>3</v>
      </c>
      <c r="T6" s="94" t="s">
        <v>57</v>
      </c>
      <c r="U6" s="108"/>
      <c r="V6" s="109">
        <v>1.325</v>
      </c>
      <c r="W6" s="110">
        <v>0.10970531623515976</v>
      </c>
      <c r="X6" s="86"/>
    </row>
    <row r="7" spans="1:24" ht="45" customHeight="1" x14ac:dyDescent="0.25">
      <c r="A7" s="102"/>
      <c r="B7" s="103"/>
      <c r="C7" s="104" t="s">
        <v>44</v>
      </c>
      <c r="D7" s="105">
        <v>0.78125</v>
      </c>
      <c r="E7" s="106">
        <v>1</v>
      </c>
      <c r="F7" s="106">
        <v>1</v>
      </c>
      <c r="G7" s="107">
        <v>0.82499999999999996</v>
      </c>
      <c r="H7" s="86"/>
      <c r="S7" s="102"/>
      <c r="T7" s="111" t="s">
        <v>58</v>
      </c>
      <c r="U7" s="104" t="s">
        <v>19</v>
      </c>
      <c r="V7" s="112">
        <v>1.1031000529714121</v>
      </c>
      <c r="W7" s="113"/>
      <c r="X7" s="86"/>
    </row>
    <row r="8" spans="1:24" ht="45" customHeight="1" x14ac:dyDescent="0.25">
      <c r="A8" s="102"/>
      <c r="B8" s="111"/>
      <c r="C8" s="114" t="s">
        <v>45</v>
      </c>
      <c r="D8" s="115">
        <v>0.625</v>
      </c>
      <c r="E8" s="116">
        <v>7.4999999999999997E-2</v>
      </c>
      <c r="F8" s="116">
        <v>0.125</v>
      </c>
      <c r="G8" s="117">
        <v>0.82499999999999996</v>
      </c>
      <c r="H8" s="86"/>
      <c r="S8" s="102"/>
      <c r="T8" s="111"/>
      <c r="U8" s="114" t="s">
        <v>20</v>
      </c>
      <c r="V8" s="118">
        <v>1.5468999470285878</v>
      </c>
      <c r="W8" s="119"/>
      <c r="X8" s="86"/>
    </row>
    <row r="9" spans="1:24" ht="45" customHeight="1" x14ac:dyDescent="0.25">
      <c r="A9" s="102"/>
      <c r="B9" s="111" t="s">
        <v>46</v>
      </c>
      <c r="C9" s="104" t="s">
        <v>42</v>
      </c>
      <c r="D9" s="120">
        <v>7</v>
      </c>
      <c r="E9" s="121">
        <v>0</v>
      </c>
      <c r="F9" s="121">
        <v>0</v>
      </c>
      <c r="G9" s="122">
        <v>7</v>
      </c>
      <c r="H9" s="86"/>
      <c r="S9" s="102"/>
      <c r="T9" s="111" t="s">
        <v>59</v>
      </c>
      <c r="U9" s="123"/>
      <c r="V9" s="118">
        <v>1.25</v>
      </c>
      <c r="W9" s="119"/>
      <c r="X9" s="86"/>
    </row>
    <row r="10" spans="1:24" ht="45" customHeight="1" x14ac:dyDescent="0.25">
      <c r="A10" s="102"/>
      <c r="B10" s="103"/>
      <c r="C10" s="104" t="s">
        <v>43</v>
      </c>
      <c r="D10" s="105">
        <v>1</v>
      </c>
      <c r="E10" s="106">
        <v>0</v>
      </c>
      <c r="F10" s="106">
        <v>0</v>
      </c>
      <c r="G10" s="107">
        <v>1</v>
      </c>
      <c r="H10" s="86"/>
      <c r="S10" s="102"/>
      <c r="T10" s="111" t="s">
        <v>60</v>
      </c>
      <c r="U10" s="123"/>
      <c r="V10" s="118">
        <v>1</v>
      </c>
      <c r="W10" s="119"/>
      <c r="X10" s="86"/>
    </row>
    <row r="11" spans="1:24" ht="45" customHeight="1" thickBot="1" x14ac:dyDescent="0.3">
      <c r="A11" s="102"/>
      <c r="B11" s="103"/>
      <c r="C11" s="104" t="s">
        <v>44</v>
      </c>
      <c r="D11" s="105">
        <v>0.21875</v>
      </c>
      <c r="E11" s="106">
        <v>0</v>
      </c>
      <c r="F11" s="106">
        <v>0</v>
      </c>
      <c r="G11" s="107">
        <v>0.17499999999999999</v>
      </c>
      <c r="H11" s="86"/>
      <c r="I11" s="76" t="s">
        <v>47</v>
      </c>
      <c r="J11" s="76"/>
      <c r="K11" s="76"/>
      <c r="L11" s="76"/>
      <c r="M11" s="86"/>
      <c r="S11" s="102"/>
      <c r="T11" s="111" t="s">
        <v>61</v>
      </c>
      <c r="U11" s="123"/>
      <c r="V11" s="124">
        <v>0.48141025641025637</v>
      </c>
      <c r="W11" s="119"/>
      <c r="X11" s="86"/>
    </row>
    <row r="12" spans="1:24" ht="45" customHeight="1" thickTop="1" thickBot="1" x14ac:dyDescent="0.3">
      <c r="A12" s="125"/>
      <c r="B12" s="111"/>
      <c r="C12" s="114" t="s">
        <v>45</v>
      </c>
      <c r="D12" s="115">
        <v>0.17499999999999999</v>
      </c>
      <c r="E12" s="116">
        <v>0</v>
      </c>
      <c r="F12" s="116">
        <v>0</v>
      </c>
      <c r="G12" s="117">
        <v>0.17499999999999999</v>
      </c>
      <c r="H12" s="86"/>
      <c r="I12" s="126" t="s">
        <v>5</v>
      </c>
      <c r="J12" s="83" t="s">
        <v>48</v>
      </c>
      <c r="K12" s="85" t="s">
        <v>1</v>
      </c>
      <c r="L12" s="84" t="s">
        <v>49</v>
      </c>
      <c r="M12" s="86"/>
      <c r="S12" s="102"/>
      <c r="T12" s="111" t="s">
        <v>62</v>
      </c>
      <c r="U12" s="123"/>
      <c r="V12" s="127">
        <v>0.69383734146430631</v>
      </c>
      <c r="W12" s="119"/>
      <c r="X12" s="86"/>
    </row>
    <row r="13" spans="1:24" ht="45" customHeight="1" thickTop="1" x14ac:dyDescent="0.25">
      <c r="A13" s="125" t="s">
        <v>12</v>
      </c>
      <c r="B13" s="103"/>
      <c r="C13" s="104" t="s">
        <v>42</v>
      </c>
      <c r="D13" s="120">
        <v>32</v>
      </c>
      <c r="E13" s="121">
        <v>3</v>
      </c>
      <c r="F13" s="121">
        <v>5</v>
      </c>
      <c r="G13" s="122">
        <v>40</v>
      </c>
      <c r="H13" s="86"/>
      <c r="I13" s="128" t="s">
        <v>50</v>
      </c>
      <c r="J13" s="129" t="s">
        <v>55</v>
      </c>
      <c r="K13" s="97">
        <v>2</v>
      </c>
      <c r="L13" s="130">
        <v>0.34624590072707134</v>
      </c>
      <c r="M13" s="86"/>
      <c r="S13" s="102"/>
      <c r="T13" s="111" t="s">
        <v>63</v>
      </c>
      <c r="U13" s="123"/>
      <c r="V13" s="131">
        <v>1</v>
      </c>
      <c r="W13" s="119"/>
      <c r="X13" s="86"/>
    </row>
    <row r="14" spans="1:24" ht="45" customHeight="1" x14ac:dyDescent="0.25">
      <c r="A14" s="102"/>
      <c r="B14" s="103"/>
      <c r="C14" s="104" t="s">
        <v>43</v>
      </c>
      <c r="D14" s="105">
        <v>0.8</v>
      </c>
      <c r="E14" s="106">
        <v>7.4999999999999997E-2</v>
      </c>
      <c r="F14" s="106">
        <v>0.125</v>
      </c>
      <c r="G14" s="107">
        <v>1</v>
      </c>
      <c r="H14" s="86"/>
      <c r="I14" s="132" t="s">
        <v>51</v>
      </c>
      <c r="J14" s="133">
        <v>3.477550736554742</v>
      </c>
      <c r="K14" s="121">
        <v>2</v>
      </c>
      <c r="L14" s="134">
        <v>0.17573548013728274</v>
      </c>
      <c r="M14" s="86"/>
      <c r="S14" s="102"/>
      <c r="T14" s="111" t="s">
        <v>64</v>
      </c>
      <c r="U14" s="123"/>
      <c r="V14" s="131">
        <v>3</v>
      </c>
      <c r="W14" s="119"/>
      <c r="X14" s="86"/>
    </row>
    <row r="15" spans="1:24" ht="45" customHeight="1" x14ac:dyDescent="0.25">
      <c r="A15" s="102"/>
      <c r="B15" s="103"/>
      <c r="C15" s="104" t="s">
        <v>44</v>
      </c>
      <c r="D15" s="105">
        <v>1</v>
      </c>
      <c r="E15" s="106">
        <v>1</v>
      </c>
      <c r="F15" s="106">
        <v>1</v>
      </c>
      <c r="G15" s="107">
        <v>1</v>
      </c>
      <c r="H15" s="86"/>
      <c r="I15" s="132" t="s">
        <v>52</v>
      </c>
      <c r="J15" s="133">
        <v>1.8616390267522094</v>
      </c>
      <c r="K15" s="121">
        <v>1</v>
      </c>
      <c r="L15" s="134">
        <v>0.17243575221615981</v>
      </c>
      <c r="M15" s="86"/>
      <c r="S15" s="102"/>
      <c r="T15" s="111" t="s">
        <v>65</v>
      </c>
      <c r="U15" s="123"/>
      <c r="V15" s="131">
        <v>2</v>
      </c>
      <c r="W15" s="119"/>
      <c r="X15" s="86"/>
    </row>
    <row r="16" spans="1:24" ht="45" customHeight="1" thickBot="1" x14ac:dyDescent="0.3">
      <c r="A16" s="90"/>
      <c r="B16" s="91"/>
      <c r="C16" s="135" t="s">
        <v>45</v>
      </c>
      <c r="D16" s="136">
        <v>0.8</v>
      </c>
      <c r="E16" s="137">
        <v>7.4999999999999997E-2</v>
      </c>
      <c r="F16" s="137">
        <v>0.125</v>
      </c>
      <c r="G16" s="138">
        <v>1</v>
      </c>
      <c r="H16" s="86"/>
      <c r="I16" s="139" t="s">
        <v>53</v>
      </c>
      <c r="J16" s="140">
        <v>40</v>
      </c>
      <c r="K16" s="141"/>
      <c r="L16" s="142"/>
      <c r="M16" s="86"/>
      <c r="S16" s="102"/>
      <c r="T16" s="111" t="s">
        <v>66</v>
      </c>
      <c r="U16" s="123"/>
      <c r="V16" s="131">
        <v>0</v>
      </c>
      <c r="W16" s="119"/>
      <c r="X16" s="86"/>
    </row>
    <row r="17" spans="9:24" ht="45" customHeight="1" thickTop="1" x14ac:dyDescent="0.25">
      <c r="I17" s="103" t="s">
        <v>54</v>
      </c>
      <c r="J17" s="103"/>
      <c r="K17" s="103"/>
      <c r="L17" s="103"/>
      <c r="M17" s="86"/>
      <c r="S17" s="102"/>
      <c r="T17" s="111" t="s">
        <v>67</v>
      </c>
      <c r="U17" s="123"/>
      <c r="V17" s="124">
        <v>1.8844759715647499</v>
      </c>
      <c r="W17" s="143">
        <v>0.37378336538586837</v>
      </c>
      <c r="X17" s="86"/>
    </row>
    <row r="18" spans="9:24" ht="45" customHeight="1" x14ac:dyDescent="0.25">
      <c r="S18" s="125"/>
      <c r="T18" s="111" t="s">
        <v>68</v>
      </c>
      <c r="U18" s="123"/>
      <c r="V18" s="124">
        <v>1.9602341080158545</v>
      </c>
      <c r="W18" s="143">
        <v>0.73260027698202013</v>
      </c>
      <c r="X18" s="86"/>
    </row>
    <row r="19" spans="9:24" ht="45" customHeight="1" x14ac:dyDescent="0.25">
      <c r="S19" s="125" t="s">
        <v>4</v>
      </c>
      <c r="T19" s="111" t="s">
        <v>57</v>
      </c>
      <c r="U19" s="123"/>
      <c r="V19" s="118">
        <v>1.175</v>
      </c>
      <c r="W19" s="144">
        <v>6.0843430844447592E-2</v>
      </c>
      <c r="X19" s="86"/>
    </row>
    <row r="20" spans="9:24" ht="45" customHeight="1" x14ac:dyDescent="0.25">
      <c r="S20" s="102"/>
      <c r="T20" s="111" t="s">
        <v>58</v>
      </c>
      <c r="U20" s="104" t="s">
        <v>19</v>
      </c>
      <c r="V20" s="112">
        <v>1.0519325448870687</v>
      </c>
      <c r="W20" s="113"/>
      <c r="X20" s="86"/>
    </row>
    <row r="21" spans="9:24" ht="45" customHeight="1" x14ac:dyDescent="0.25">
      <c r="S21" s="102"/>
      <c r="T21" s="111"/>
      <c r="U21" s="114" t="s">
        <v>20</v>
      </c>
      <c r="V21" s="118">
        <v>1.2980674551129314</v>
      </c>
      <c r="W21" s="119"/>
      <c r="X21" s="86"/>
    </row>
    <row r="22" spans="9:24" ht="45" customHeight="1" x14ac:dyDescent="0.25">
      <c r="S22" s="102"/>
      <c r="T22" s="111" t="s">
        <v>59</v>
      </c>
      <c r="U22" s="123"/>
      <c r="V22" s="118">
        <v>1.1388888888888888</v>
      </c>
      <c r="W22" s="119"/>
      <c r="X22" s="86"/>
    </row>
    <row r="23" spans="9:24" ht="45" customHeight="1" x14ac:dyDescent="0.25">
      <c r="S23" s="102"/>
      <c r="T23" s="111" t="s">
        <v>60</v>
      </c>
      <c r="U23" s="123"/>
      <c r="V23" s="118">
        <v>1</v>
      </c>
      <c r="W23" s="119"/>
      <c r="X23" s="86"/>
    </row>
    <row r="24" spans="9:24" ht="45" customHeight="1" x14ac:dyDescent="0.25">
      <c r="S24" s="102"/>
      <c r="T24" s="111" t="s">
        <v>61</v>
      </c>
      <c r="U24" s="123"/>
      <c r="V24" s="124">
        <v>0.14807692307692308</v>
      </c>
      <c r="W24" s="119"/>
      <c r="X24" s="86"/>
    </row>
    <row r="25" spans="9:24" ht="45" customHeight="1" x14ac:dyDescent="0.25">
      <c r="S25" s="102"/>
      <c r="T25" s="111" t="s">
        <v>62</v>
      </c>
      <c r="U25" s="123"/>
      <c r="V25" s="127">
        <v>0.38480764425479269</v>
      </c>
      <c r="W25" s="119"/>
      <c r="X25" s="86"/>
    </row>
    <row r="26" spans="9:24" ht="45" customHeight="1" x14ac:dyDescent="0.25">
      <c r="S26" s="102"/>
      <c r="T26" s="111" t="s">
        <v>63</v>
      </c>
      <c r="U26" s="123"/>
      <c r="V26" s="131">
        <v>1</v>
      </c>
      <c r="W26" s="119"/>
      <c r="X26" s="86"/>
    </row>
    <row r="27" spans="9:24" ht="45" customHeight="1" x14ac:dyDescent="0.25">
      <c r="S27" s="102"/>
      <c r="T27" s="111" t="s">
        <v>64</v>
      </c>
      <c r="U27" s="123"/>
      <c r="V27" s="131">
        <v>2</v>
      </c>
      <c r="W27" s="119"/>
      <c r="X27" s="86"/>
    </row>
    <row r="28" spans="9:24" ht="45" customHeight="1" x14ac:dyDescent="0.25">
      <c r="S28" s="102"/>
      <c r="T28" s="111" t="s">
        <v>65</v>
      </c>
      <c r="U28" s="123"/>
      <c r="V28" s="131">
        <v>1</v>
      </c>
      <c r="W28" s="119"/>
      <c r="X28" s="86"/>
    </row>
    <row r="29" spans="9:24" ht="45" customHeight="1" x14ac:dyDescent="0.25">
      <c r="S29" s="102"/>
      <c r="T29" s="111" t="s">
        <v>66</v>
      </c>
      <c r="U29" s="123"/>
      <c r="V29" s="131">
        <v>0</v>
      </c>
      <c r="W29" s="119"/>
      <c r="X29" s="86"/>
    </row>
    <row r="30" spans="9:24" ht="45" customHeight="1" x14ac:dyDescent="0.25">
      <c r="S30" s="102"/>
      <c r="T30" s="111" t="s">
        <v>67</v>
      </c>
      <c r="U30" s="123"/>
      <c r="V30" s="124">
        <v>1.7780585612866695</v>
      </c>
      <c r="W30" s="143">
        <v>0.37378336538586837</v>
      </c>
      <c r="X30" s="86"/>
    </row>
    <row r="31" spans="9:24" ht="45" customHeight="1" thickBot="1" x14ac:dyDescent="0.3">
      <c r="S31" s="90"/>
      <c r="T31" s="91" t="s">
        <v>68</v>
      </c>
      <c r="U31" s="92"/>
      <c r="V31" s="145">
        <v>1.2200033252664819</v>
      </c>
      <c r="W31" s="146">
        <v>0.73260027698202013</v>
      </c>
      <c r="X31" s="86"/>
    </row>
  </sheetData>
  <mergeCells count="38">
    <mergeCell ref="T30:U30"/>
    <mergeCell ref="T31:U31"/>
    <mergeCell ref="T18:U18"/>
    <mergeCell ref="S19:S31"/>
    <mergeCell ref="T19:U19"/>
    <mergeCell ref="T20:T21"/>
    <mergeCell ref="T22:U22"/>
    <mergeCell ref="T23:U23"/>
    <mergeCell ref="T24:U24"/>
    <mergeCell ref="T25:U25"/>
    <mergeCell ref="T26:U26"/>
    <mergeCell ref="T27:U27"/>
    <mergeCell ref="T12:U12"/>
    <mergeCell ref="T13:U13"/>
    <mergeCell ref="T14:U14"/>
    <mergeCell ref="T15:U15"/>
    <mergeCell ref="T16:U16"/>
    <mergeCell ref="T17:U17"/>
    <mergeCell ref="S4:W4"/>
    <mergeCell ref="S5:U5"/>
    <mergeCell ref="S6:S18"/>
    <mergeCell ref="T6:U6"/>
    <mergeCell ref="T7:T8"/>
    <mergeCell ref="T9:U9"/>
    <mergeCell ref="T10:U10"/>
    <mergeCell ref="T11:U11"/>
    <mergeCell ref="T28:U28"/>
    <mergeCell ref="T29:U29"/>
    <mergeCell ref="I11:L11"/>
    <mergeCell ref="I17:L17"/>
    <mergeCell ref="A2:G2"/>
    <mergeCell ref="A3:C4"/>
    <mergeCell ref="D3:F3"/>
    <mergeCell ref="G3:G4"/>
    <mergeCell ref="A5:A12"/>
    <mergeCell ref="B5:B8"/>
    <mergeCell ref="B9:B12"/>
    <mergeCell ref="A13:B1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U30"/>
  <sheetViews>
    <sheetView topLeftCell="C1" workbookViewId="0">
      <selection activeCell="I25" sqref="I25"/>
    </sheetView>
  </sheetViews>
  <sheetFormatPr defaultColWidth="10.7109375" defaultRowHeight="24.95" customHeight="1" x14ac:dyDescent="0.25"/>
  <cols>
    <col min="1" max="1" width="10.7109375" style="1"/>
    <col min="2" max="5" width="12.7109375" style="1" customWidth="1"/>
    <col min="6" max="16384" width="10.7109375" style="1"/>
  </cols>
  <sheetData>
    <row r="4" spans="11:21" ht="24.95" customHeight="1" x14ac:dyDescent="0.25">
      <c r="O4" s="148" t="s">
        <v>71</v>
      </c>
      <c r="P4" s="148"/>
      <c r="Q4" s="148" t="s">
        <v>4</v>
      </c>
      <c r="R4" s="148"/>
      <c r="S4" s="148"/>
      <c r="T4" s="148"/>
      <c r="U4" s="148" t="s">
        <v>28</v>
      </c>
    </row>
    <row r="5" spans="11:21" ht="24.95" customHeight="1" x14ac:dyDescent="0.25">
      <c r="O5" s="148"/>
      <c r="P5" s="148"/>
      <c r="Q5" s="148" t="s">
        <v>72</v>
      </c>
      <c r="R5" s="148"/>
      <c r="S5" s="148" t="s">
        <v>41</v>
      </c>
      <c r="T5" s="148"/>
      <c r="U5" s="148"/>
    </row>
    <row r="6" spans="11:21" ht="24.95" customHeight="1" x14ac:dyDescent="0.25">
      <c r="O6" s="152" t="s">
        <v>75</v>
      </c>
      <c r="P6" s="152" t="s">
        <v>74</v>
      </c>
      <c r="Q6" s="152" t="s">
        <v>75</v>
      </c>
      <c r="R6" s="152" t="s">
        <v>74</v>
      </c>
      <c r="S6" s="152" t="s">
        <v>75</v>
      </c>
      <c r="T6" s="152" t="s">
        <v>74</v>
      </c>
      <c r="U6" s="148"/>
    </row>
    <row r="7" spans="11:21" ht="24.95" customHeight="1" x14ac:dyDescent="0.25">
      <c r="O7" s="153">
        <f>P7/$P$11</f>
        <v>0.4</v>
      </c>
      <c r="P7" s="152">
        <f>SUM(T7,R7)</f>
        <v>16</v>
      </c>
      <c r="Q7" s="154">
        <f>R7/P7</f>
        <v>0.3125</v>
      </c>
      <c r="R7" s="152">
        <v>5</v>
      </c>
      <c r="S7" s="154">
        <f>T7/P7</f>
        <v>0.6875</v>
      </c>
      <c r="T7" s="152">
        <v>11</v>
      </c>
      <c r="U7" s="152" t="s">
        <v>22</v>
      </c>
    </row>
    <row r="8" spans="11:21" ht="24.95" customHeight="1" x14ac:dyDescent="0.25">
      <c r="O8" s="153">
        <f t="shared" ref="O8:O10" si="0">P8/$P$11</f>
        <v>0.1</v>
      </c>
      <c r="P8" s="152">
        <f t="shared" ref="P8:P10" si="1">SUM(T8,R8)</f>
        <v>4</v>
      </c>
      <c r="Q8" s="154">
        <f t="shared" ref="Q8:Q10" si="2">R8/P8</f>
        <v>0.25</v>
      </c>
      <c r="R8" s="152">
        <v>1</v>
      </c>
      <c r="S8" s="154">
        <f t="shared" ref="S8:S11" si="3">T8/P8</f>
        <v>0.75</v>
      </c>
      <c r="T8" s="152">
        <v>3</v>
      </c>
      <c r="U8" s="152" t="s">
        <v>23</v>
      </c>
    </row>
    <row r="9" spans="11:21" ht="24.95" customHeight="1" x14ac:dyDescent="0.25">
      <c r="O9" s="153">
        <f t="shared" si="0"/>
        <v>0.3</v>
      </c>
      <c r="P9" s="152">
        <f t="shared" si="1"/>
        <v>12</v>
      </c>
      <c r="Q9" s="154">
        <f t="shared" si="2"/>
        <v>8.3333333333333329E-2</v>
      </c>
      <c r="R9" s="152">
        <v>1</v>
      </c>
      <c r="S9" s="154">
        <f t="shared" si="3"/>
        <v>0.91666666666666663</v>
      </c>
      <c r="T9" s="152">
        <v>11</v>
      </c>
      <c r="U9" s="152" t="s">
        <v>73</v>
      </c>
    </row>
    <row r="10" spans="11:21" ht="24.95" customHeight="1" x14ac:dyDescent="0.25">
      <c r="K10" s="155"/>
      <c r="L10" s="155"/>
      <c r="M10" s="155"/>
      <c r="N10" s="155"/>
      <c r="O10" s="153">
        <f t="shared" si="0"/>
        <v>0.2</v>
      </c>
      <c r="P10" s="152">
        <f t="shared" si="1"/>
        <v>8</v>
      </c>
      <c r="Q10" s="154">
        <f t="shared" si="2"/>
        <v>0</v>
      </c>
      <c r="R10" s="152">
        <v>0</v>
      </c>
      <c r="S10" s="153">
        <f t="shared" si="3"/>
        <v>1</v>
      </c>
      <c r="T10" s="152">
        <v>8</v>
      </c>
      <c r="U10" s="152" t="s">
        <v>25</v>
      </c>
    </row>
    <row r="11" spans="11:21" ht="24.95" customHeight="1" x14ac:dyDescent="0.25">
      <c r="K11" s="155"/>
      <c r="L11" s="155"/>
      <c r="M11" s="155"/>
      <c r="N11" s="155"/>
      <c r="O11" s="153">
        <f t="shared" ref="O11:S11" si="4">SUM(O7:O10)</f>
        <v>1</v>
      </c>
      <c r="P11" s="152">
        <f t="shared" si="4"/>
        <v>40</v>
      </c>
      <c r="Q11" s="154">
        <f>R11/P11</f>
        <v>0.17499999999999999</v>
      </c>
      <c r="R11" s="154">
        <f>SUM(R7:R10)</f>
        <v>7</v>
      </c>
      <c r="S11" s="154">
        <f>T11/P11</f>
        <v>0.82499999999999996</v>
      </c>
      <c r="T11" s="152">
        <f>SUM(T7:T10)</f>
        <v>33</v>
      </c>
      <c r="U11" s="152" t="s">
        <v>71</v>
      </c>
    </row>
    <row r="24" spans="2:6" ht="60" customHeight="1" thickBot="1" x14ac:dyDescent="0.3">
      <c r="B24" s="147" t="s">
        <v>47</v>
      </c>
      <c r="C24" s="147"/>
      <c r="D24" s="147"/>
      <c r="E24" s="147"/>
      <c r="F24" s="156"/>
    </row>
    <row r="25" spans="2:6" ht="60" customHeight="1" thickTop="1" thickBot="1" x14ac:dyDescent="0.3">
      <c r="B25" s="157" t="s">
        <v>5</v>
      </c>
      <c r="C25" s="149" t="s">
        <v>48</v>
      </c>
      <c r="D25" s="150" t="s">
        <v>1</v>
      </c>
      <c r="E25" s="151" t="s">
        <v>49</v>
      </c>
      <c r="F25" s="156"/>
    </row>
    <row r="26" spans="2:6" ht="60" customHeight="1" thickTop="1" x14ac:dyDescent="0.25">
      <c r="B26" s="158" t="s">
        <v>50</v>
      </c>
      <c r="C26" s="159" t="s">
        <v>70</v>
      </c>
      <c r="D26" s="160">
        <v>3</v>
      </c>
      <c r="E26" s="161">
        <v>0.19959215982729187</v>
      </c>
      <c r="F26" s="156"/>
    </row>
    <row r="27" spans="2:6" ht="60" customHeight="1" x14ac:dyDescent="0.25">
      <c r="B27" s="162" t="s">
        <v>51</v>
      </c>
      <c r="C27" s="163">
        <v>5.8406064494866516</v>
      </c>
      <c r="D27" s="164">
        <v>3</v>
      </c>
      <c r="E27" s="165">
        <v>0.11962789364477436</v>
      </c>
      <c r="F27" s="156"/>
    </row>
    <row r="28" spans="2:6" ht="60" customHeight="1" x14ac:dyDescent="0.25">
      <c r="B28" s="162" t="s">
        <v>52</v>
      </c>
      <c r="C28" s="163">
        <v>4.4554665192963059</v>
      </c>
      <c r="D28" s="164">
        <v>1</v>
      </c>
      <c r="E28" s="165">
        <v>3.4789712288252596E-2</v>
      </c>
      <c r="F28" s="156"/>
    </row>
    <row r="29" spans="2:6" ht="60" customHeight="1" thickBot="1" x14ac:dyDescent="0.3">
      <c r="B29" s="166" t="s">
        <v>53</v>
      </c>
      <c r="C29" s="167">
        <v>40</v>
      </c>
      <c r="D29" s="168"/>
      <c r="E29" s="169"/>
      <c r="F29" s="156"/>
    </row>
    <row r="30" spans="2:6" ht="60" customHeight="1" thickTop="1" x14ac:dyDescent="0.25">
      <c r="B30" s="170" t="s">
        <v>69</v>
      </c>
      <c r="C30" s="170"/>
      <c r="D30" s="170"/>
      <c r="E30" s="170"/>
      <c r="F30" s="156"/>
    </row>
  </sheetData>
  <mergeCells count="7">
    <mergeCell ref="S5:T5"/>
    <mergeCell ref="Q5:R5"/>
    <mergeCell ref="U4:U6"/>
    <mergeCell ref="B24:E24"/>
    <mergeCell ref="B30:E30"/>
    <mergeCell ref="Q4:T4"/>
    <mergeCell ref="O4:P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اختبار انوفا للتعليم و الوعي</vt:lpstr>
      <vt:lpstr>كاي للدرجة الوظيفية و الوعي</vt:lpstr>
      <vt:lpstr>الحالة التعليمية و الوعي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2023-04-04T06:42:38Z</dcterms:modified>
</cp:coreProperties>
</file>