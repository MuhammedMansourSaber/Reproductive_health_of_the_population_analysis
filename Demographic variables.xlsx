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1_EA5ED0B5A2F72D324CBCE635DE80C5D56005F799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0" i="1" l="1"/>
  <c r="D231" i="1"/>
  <c r="D229" i="1"/>
  <c r="D217" i="1"/>
  <c r="D218" i="1"/>
  <c r="D219" i="1"/>
  <c r="D216" i="1"/>
  <c r="D211" i="1"/>
  <c r="D212" i="1"/>
  <c r="D210" i="1"/>
  <c r="H200" i="1"/>
  <c r="H197" i="1"/>
  <c r="H198" i="1"/>
  <c r="H199" i="1"/>
  <c r="H196" i="1"/>
  <c r="H190" i="1"/>
  <c r="H191" i="1"/>
  <c r="H192" i="1"/>
  <c r="H189" i="1"/>
  <c r="H182" i="1"/>
  <c r="H183" i="1"/>
  <c r="H184" i="1"/>
  <c r="H185" i="1"/>
  <c r="H181" i="1"/>
  <c r="H168" i="1"/>
  <c r="H169" i="1"/>
  <c r="H170" i="1"/>
  <c r="H171" i="1"/>
  <c r="H167" i="1"/>
  <c r="D161" i="1"/>
  <c r="D162" i="1"/>
  <c r="D163" i="1"/>
  <c r="D160" i="1"/>
  <c r="D148" i="1" l="1"/>
  <c r="D149" i="1"/>
  <c r="D147" i="1"/>
  <c r="D130" i="1"/>
  <c r="D131" i="1"/>
  <c r="D129" i="1"/>
  <c r="D124" i="1"/>
  <c r="D125" i="1"/>
  <c r="D123" i="1"/>
  <c r="D112" i="1"/>
  <c r="D113" i="1"/>
  <c r="D111" i="1"/>
  <c r="D106" i="1"/>
  <c r="D107" i="1"/>
  <c r="D105" i="1"/>
  <c r="D100" i="1"/>
  <c r="D101" i="1"/>
  <c r="D99" i="1"/>
  <c r="D94" i="1"/>
  <c r="D95" i="1"/>
  <c r="D93" i="1"/>
  <c r="D88" i="1"/>
  <c r="D89" i="1"/>
  <c r="D87" i="1"/>
  <c r="D79" i="1" l="1"/>
  <c r="D80" i="1"/>
  <c r="D81" i="1"/>
  <c r="D82" i="1"/>
  <c r="D83" i="1"/>
  <c r="I76" i="1"/>
  <c r="H71" i="1" l="1"/>
  <c r="H137" i="1"/>
  <c r="H136" i="1"/>
  <c r="H135" i="1"/>
  <c r="H74" i="1"/>
  <c r="H70" i="1"/>
  <c r="H73" i="1"/>
  <c r="H72" i="1"/>
  <c r="H76" i="1"/>
  <c r="H75" i="1"/>
  <c r="D65" i="1"/>
  <c r="D66" i="1"/>
  <c r="D64" i="1"/>
  <c r="D51" i="1"/>
  <c r="D52" i="1"/>
  <c r="D53" i="1"/>
  <c r="D54" i="1"/>
  <c r="D50" i="1"/>
  <c r="H44" i="1"/>
  <c r="H45" i="1"/>
  <c r="H46" i="1"/>
  <c r="H43" i="1"/>
  <c r="H36" i="1"/>
  <c r="H37" i="1"/>
  <c r="H38" i="1"/>
  <c r="H39" i="1"/>
  <c r="H35" i="1"/>
  <c r="I32" i="1"/>
  <c r="H30" i="1" s="1"/>
  <c r="H31" i="1" l="1"/>
  <c r="H29" i="1"/>
  <c r="H32" i="1" l="1"/>
  <c r="H138" i="1" l="1"/>
</calcChain>
</file>

<file path=xl/sharedStrings.xml><?xml version="1.0" encoding="utf-8"?>
<sst xmlns="http://schemas.openxmlformats.org/spreadsheetml/2006/main" count="380" uniqueCount="107">
  <si>
    <t/>
  </si>
  <si>
    <t>نسبة مشاركة النوع</t>
  </si>
  <si>
    <t>ذكر</t>
  </si>
  <si>
    <t>انثي</t>
  </si>
  <si>
    <t>Total</t>
  </si>
  <si>
    <t>العمر</t>
  </si>
  <si>
    <t>20:29</t>
  </si>
  <si>
    <t>30:39</t>
  </si>
  <si>
    <t>40:49</t>
  </si>
  <si>
    <t>50 فاكثر</t>
  </si>
  <si>
    <t>محل الاقامة</t>
  </si>
  <si>
    <t>حضر</t>
  </si>
  <si>
    <t>ريف</t>
  </si>
  <si>
    <t>نوع المسكن</t>
  </si>
  <si>
    <t>ملك</t>
  </si>
  <si>
    <t>الحالة الاجتماعية</t>
  </si>
  <si>
    <t>متزوج/ة</t>
  </si>
  <si>
    <t>مطلق/ة</t>
  </si>
  <si>
    <t>الحالة التعليمية</t>
  </si>
  <si>
    <t>متوسط</t>
  </si>
  <si>
    <t>فوق متوسط</t>
  </si>
  <si>
    <t>تعليم جامعي</t>
  </si>
  <si>
    <t>فوق جامعي</t>
  </si>
  <si>
    <t>الدرجة الوظيفية للمبحوث</t>
  </si>
  <si>
    <t>موظف اداري</t>
  </si>
  <si>
    <t>هيئة معاونة</t>
  </si>
  <si>
    <t>عضو هيئة تدريس</t>
  </si>
  <si>
    <t>متوسط الدخل الشهري للأسرة</t>
  </si>
  <si>
    <t>اقل من 3000</t>
  </si>
  <si>
    <t>من 3000 الي 5000</t>
  </si>
  <si>
    <t>من 5000 الي 8000</t>
  </si>
  <si>
    <t xml:space="preserve"> اكثر من 8000</t>
  </si>
  <si>
    <t>تغطية الدخل الشهري لاحتياجات الاسرة</t>
  </si>
  <si>
    <t>نعم</t>
  </si>
  <si>
    <t>لا</t>
  </si>
  <si>
    <t>الوعي بالصحة الانجابية</t>
  </si>
  <si>
    <t>مفهوم الصحة الانجابية عند المبحوث</t>
  </si>
  <si>
    <t>القدرة علي الانجاب</t>
  </si>
  <si>
    <t>إعداد المراة للزواج</t>
  </si>
  <si>
    <t>التغذية السليمة</t>
  </si>
  <si>
    <t>استخدام وسائل تنظيم الاسرة</t>
  </si>
  <si>
    <t>كل ما سبق</t>
  </si>
  <si>
    <t>مصدر تحصيل المعلومات حول الصحة الانجابية</t>
  </si>
  <si>
    <t>الندوات التثقيفية</t>
  </si>
  <si>
    <t>وسائل الاعلام و التليفزيون</t>
  </si>
  <si>
    <t>كتب تثقيفية متخصصة</t>
  </si>
  <si>
    <t>الوحدات الصحية</t>
  </si>
  <si>
    <t>العلم بخدمات الصحة الانجابية المقدمة من وزارة الصحة و السكان</t>
  </si>
  <si>
    <t>العلاقة بين مستوي التعليم و تشكيل الوعي بالصحة الانجابية</t>
  </si>
  <si>
    <t>الصعوبة في الوصول الي خدمات الصحة الانجابية</t>
  </si>
  <si>
    <t>تمثل العادات و التقاليد عائق لتلقي خدمات الصحة الانجابية</t>
  </si>
  <si>
    <t>اختلاف مستوي الوعي بالصحة الانجابية بين الذكور و الاناث</t>
  </si>
  <si>
    <t>مساهمة الصحة الانجابية في الوقاية من الامراض</t>
  </si>
  <si>
    <t>الوعي بوجود فحص طبي قبل الزواج</t>
  </si>
  <si>
    <t>عمل فحوصات طبية فعلية قبل الزواج</t>
  </si>
  <si>
    <t>مساهمة الفحص الطبي في تجنب الامراض الوراثية و الجنسية</t>
  </si>
  <si>
    <t>الوعي بمخاطر زواج الاقارب</t>
  </si>
  <si>
    <t>تأييد الزواج المبكر</t>
  </si>
  <si>
    <t>السن المناسب للزواج عند الذكور</t>
  </si>
  <si>
    <t>أقل من 20</t>
  </si>
  <si>
    <t>من 21 إلي 29</t>
  </si>
  <si>
    <t>30 فأكثر</t>
  </si>
  <si>
    <t>السن المناسب للزواج عند الاناث</t>
  </si>
  <si>
    <t>العمر عند الزواج</t>
  </si>
  <si>
    <t>من 21 إلي 25</t>
  </si>
  <si>
    <t>من 26 إلي 30</t>
  </si>
  <si>
    <t>اكبر من 30</t>
  </si>
  <si>
    <t>وجود اطفال</t>
  </si>
  <si>
    <t>عدد الاطفال</t>
  </si>
  <si>
    <t>لا يوجد</t>
  </si>
  <si>
    <t>1</t>
  </si>
  <si>
    <t>2</t>
  </si>
  <si>
    <t>3 فأكثر</t>
  </si>
  <si>
    <t>عدد الاطفال المناسب للأسرة</t>
  </si>
  <si>
    <t>السن المناسب للانجاب</t>
  </si>
  <si>
    <t>20 فأقل</t>
  </si>
  <si>
    <t>من 21 الي 25</t>
  </si>
  <si>
    <t>من 26 الي 30</t>
  </si>
  <si>
    <t>أكثر من 30</t>
  </si>
  <si>
    <t>تأييد استخدام وسائل تنظيم الاسرة</t>
  </si>
  <si>
    <t>الاستخدام الفعلي لوسائل تنظيم الاسرة</t>
  </si>
  <si>
    <t>قرار تنظيم الاسرة</t>
  </si>
  <si>
    <t>قرار الزوج</t>
  </si>
  <si>
    <t>قرار الزوجة</t>
  </si>
  <si>
    <t>قرار مشترك</t>
  </si>
  <si>
    <t>اهمية المباعدة بين فترات الحمل</t>
  </si>
  <si>
    <t>العلم بالامراض التي قد تصيب المراة خلال فترة الحمل و بعدها</t>
  </si>
  <si>
    <t>المتابعة مع طبيب متخصص خلال فترة الحمل</t>
  </si>
  <si>
    <t>الولادة تحت اشراف طبي</t>
  </si>
  <si>
    <t>حدوث حمل غير مخطط له من قبل</t>
  </si>
  <si>
    <t>التصرف عند حدوث حمل غير مخطط له او غير مرغوب</t>
  </si>
  <si>
    <t>استكمال الحمل</t>
  </si>
  <si>
    <t>اللجوء الي الإجهاض</t>
  </si>
  <si>
    <t>التكرارات</t>
  </si>
  <si>
    <t>النسبة المئوية</t>
  </si>
  <si>
    <t>إيجار</t>
  </si>
  <si>
    <t xml:space="preserve">التكرارات </t>
  </si>
  <si>
    <t>أرمل/ة</t>
  </si>
  <si>
    <t>المجموع</t>
  </si>
  <si>
    <t>نوع التعليم</t>
  </si>
  <si>
    <t xml:space="preserve">الدرجة الوظيفية </t>
  </si>
  <si>
    <t>التكرارت</t>
  </si>
  <si>
    <t xml:space="preserve">النسبة المئوية </t>
  </si>
  <si>
    <t xml:space="preserve">مفهوم الصحة الانجابية </t>
  </si>
  <si>
    <t xml:space="preserve">سلامة الجهاز التناسلي من الامراض </t>
  </si>
  <si>
    <t>مصدر تحصيل المعلومات</t>
  </si>
  <si>
    <t xml:space="preserve">عدد الاطفال المناسب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</si>
</sst>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##0.0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4"/>
      <color indexed="8"/>
      <name val="Arial Bold"/>
    </font>
    <font>
      <sz val="12"/>
      <color indexed="8"/>
      <name val="Arial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2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6ED0B6"/>
        <bgColor indexed="64"/>
      </patternFill>
    </fill>
    <fill>
      <patternFill patternType="solid">
        <fgColor rgb="FF49BFB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41C391"/>
        <bgColor indexed="64"/>
      </patternFill>
    </fill>
    <fill>
      <patternFill patternType="solid">
        <fgColor rgb="FFC2E4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616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AE5D"/>
        <bgColor indexed="64"/>
      </patternFill>
    </fill>
  </fills>
  <borders count="102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7030A0"/>
      </left>
      <right/>
      <top style="medium">
        <color rgb="FF7030A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7030A0"/>
      </top>
      <bottom style="medium">
        <color indexed="64"/>
      </bottom>
      <diagonal/>
    </border>
    <border>
      <left/>
      <right style="medium">
        <color rgb="FF7030A0"/>
      </right>
      <top style="medium">
        <color rgb="FF7030A0"/>
      </top>
      <bottom style="medium">
        <color indexed="64"/>
      </bottom>
      <diagonal/>
    </border>
    <border>
      <left style="medium">
        <color rgb="FF7030A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7030A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7030A0"/>
      </right>
      <top style="medium">
        <color indexed="64"/>
      </top>
      <bottom style="medium">
        <color indexed="64"/>
      </bottom>
      <diagonal/>
    </border>
    <border>
      <left style="medium">
        <color rgb="FF7030A0"/>
      </left>
      <right/>
      <top style="medium">
        <color indexed="64"/>
      </top>
      <bottom style="medium">
        <color rgb="FF7030A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7030A0"/>
      </bottom>
      <diagonal/>
    </border>
    <border>
      <left/>
      <right style="medium">
        <color rgb="FF7030A0"/>
      </right>
      <top style="medium">
        <color indexed="64"/>
      </top>
      <bottom style="medium">
        <color rgb="FF7030A0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/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medium">
        <color theme="9" tint="-0.499984740745262"/>
      </left>
      <right style="thin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 style="thin">
        <color theme="9" tint="-0.499984740745262"/>
      </left>
      <right style="medium">
        <color theme="9" tint="-0.499984740745262"/>
      </right>
      <top style="thin">
        <color theme="9" tint="-0.499984740745262"/>
      </top>
      <bottom style="medium">
        <color theme="9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 style="thick">
        <color indexed="8"/>
      </left>
      <right/>
      <top/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 style="medium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 style="medium">
        <color theme="4" tint="-0.499984740745262"/>
      </top>
      <bottom style="medium">
        <color theme="4" tint="-0.499984740745262"/>
      </bottom>
      <diagonal/>
    </border>
    <border>
      <left style="thick">
        <color indexed="8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indexed="64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thin">
        <color theme="5"/>
      </right>
      <top style="thin">
        <color theme="5"/>
      </top>
      <bottom style="medium">
        <color theme="5"/>
      </bottom>
      <diagonal/>
    </border>
    <border>
      <left style="medium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 style="medium">
        <color theme="5"/>
      </left>
      <right style="medium">
        <color theme="5"/>
      </right>
      <top/>
      <bottom/>
      <diagonal/>
    </border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  <border>
      <left style="medium">
        <color theme="9"/>
      </left>
      <right style="medium">
        <color theme="9"/>
      </right>
      <top style="medium">
        <color theme="9"/>
      </top>
      <bottom style="medium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medium">
        <color theme="9"/>
      </left>
      <right style="thin">
        <color theme="9"/>
      </right>
      <top/>
      <bottom style="thin">
        <color theme="9"/>
      </bottom>
      <diagonal/>
    </border>
    <border>
      <left style="medium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/>
      <top style="thin">
        <color theme="9"/>
      </top>
      <bottom style="medium">
        <color theme="9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195">
    <xf numFmtId="0" fontId="0" fillId="0" borderId="0" xfId="0"/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164" fontId="3" fillId="0" borderId="7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 wrapText="1"/>
    </xf>
    <xf numFmtId="164" fontId="3" fillId="0" borderId="11" xfId="1" applyNumberFormat="1" applyFont="1" applyBorder="1" applyAlignment="1">
      <alignment horizontal="center" vertical="center"/>
    </xf>
    <xf numFmtId="165" fontId="3" fillId="0" borderId="12" xfId="1" applyNumberFormat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164" fontId="3" fillId="0" borderId="15" xfId="1" applyNumberFormat="1" applyFont="1" applyBorder="1" applyAlignment="1">
      <alignment horizontal="center" vertical="center"/>
    </xf>
    <xf numFmtId="165" fontId="3" fillId="0" borderId="16" xfId="1" applyNumberFormat="1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66" fontId="5" fillId="5" borderId="22" xfId="2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166" fontId="5" fillId="4" borderId="22" xfId="2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6" fontId="5" fillId="2" borderId="22" xfId="2" applyNumberFormat="1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166" fontId="0" fillId="3" borderId="25" xfId="0" applyNumberFormat="1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9" fontId="0" fillId="6" borderId="35" xfId="2" applyFont="1" applyFill="1" applyBorder="1" applyAlignment="1">
      <alignment horizontal="center" vertical="center"/>
    </xf>
    <xf numFmtId="164" fontId="3" fillId="6" borderId="30" xfId="1" applyNumberFormat="1" applyFont="1" applyFill="1" applyBorder="1" applyAlignment="1">
      <alignment horizontal="center" vertical="center"/>
    </xf>
    <xf numFmtId="0" fontId="3" fillId="6" borderId="32" xfId="1" applyFont="1" applyFill="1" applyBorder="1" applyAlignment="1">
      <alignment horizontal="center" vertical="center" wrapText="1"/>
    </xf>
    <xf numFmtId="9" fontId="0" fillId="7" borderId="36" xfId="2" applyFont="1" applyFill="1" applyBorder="1" applyAlignment="1">
      <alignment horizontal="center" vertical="center"/>
    </xf>
    <xf numFmtId="164" fontId="3" fillId="7" borderId="31" xfId="1" applyNumberFormat="1" applyFont="1" applyFill="1" applyBorder="1" applyAlignment="1">
      <alignment horizontal="center" vertical="center"/>
    </xf>
    <xf numFmtId="0" fontId="3" fillId="7" borderId="33" xfId="1" applyFont="1" applyFill="1" applyBorder="1" applyAlignment="1">
      <alignment horizontal="center" vertical="center" wrapText="1"/>
    </xf>
    <xf numFmtId="9" fontId="0" fillId="8" borderId="36" xfId="2" applyFont="1" applyFill="1" applyBorder="1" applyAlignment="1">
      <alignment horizontal="center" vertical="center"/>
    </xf>
    <xf numFmtId="164" fontId="3" fillId="8" borderId="31" xfId="1" applyNumberFormat="1" applyFont="1" applyFill="1" applyBorder="1" applyAlignment="1">
      <alignment horizontal="center" vertical="center"/>
    </xf>
    <xf numFmtId="0" fontId="3" fillId="8" borderId="33" xfId="1" applyFont="1" applyFill="1" applyBorder="1" applyAlignment="1">
      <alignment horizontal="center" vertical="center" wrapText="1"/>
    </xf>
    <xf numFmtId="9" fontId="0" fillId="9" borderId="36" xfId="2" applyFont="1" applyFill="1" applyBorder="1" applyAlignment="1">
      <alignment horizontal="center" vertical="center"/>
    </xf>
    <xf numFmtId="164" fontId="3" fillId="9" borderId="31" xfId="1" applyNumberFormat="1" applyFont="1" applyFill="1" applyBorder="1" applyAlignment="1">
      <alignment horizontal="center" vertical="center"/>
    </xf>
    <xf numFmtId="0" fontId="3" fillId="9" borderId="33" xfId="1" applyFont="1" applyFill="1" applyBorder="1" applyAlignment="1">
      <alignment horizontal="center" vertical="center" wrapText="1"/>
    </xf>
    <xf numFmtId="9" fontId="0" fillId="3" borderId="37" xfId="2" applyFont="1" applyFill="1" applyBorder="1" applyAlignment="1">
      <alignment horizontal="center" vertical="center"/>
    </xf>
    <xf numFmtId="164" fontId="3" fillId="3" borderId="38" xfId="1" applyNumberFormat="1" applyFon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164" fontId="3" fillId="5" borderId="39" xfId="1" applyNumberFormat="1" applyFont="1" applyFill="1" applyBorder="1" applyAlignment="1">
      <alignment horizontal="center" vertical="center"/>
    </xf>
    <xf numFmtId="0" fontId="3" fillId="5" borderId="44" xfId="1" applyFont="1" applyFill="1" applyBorder="1" applyAlignment="1">
      <alignment horizontal="center" vertical="center" wrapText="1"/>
    </xf>
    <xf numFmtId="9" fontId="0" fillId="3" borderId="45" xfId="2" applyFont="1" applyFill="1" applyBorder="1" applyAlignment="1">
      <alignment horizontal="center" vertical="center"/>
    </xf>
    <xf numFmtId="164" fontId="3" fillId="3" borderId="46" xfId="1" applyNumberFormat="1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9" fontId="0" fillId="5" borderId="43" xfId="2" applyFont="1" applyFill="1" applyBorder="1" applyAlignment="1">
      <alignment horizontal="center" vertical="center"/>
    </xf>
    <xf numFmtId="166" fontId="0" fillId="10" borderId="43" xfId="2" applyNumberFormat="1" applyFont="1" applyFill="1" applyBorder="1" applyAlignment="1">
      <alignment horizontal="center" vertical="center"/>
    </xf>
    <xf numFmtId="164" fontId="3" fillId="10" borderId="39" xfId="1" applyNumberFormat="1" applyFont="1" applyFill="1" applyBorder="1" applyAlignment="1">
      <alignment horizontal="center" vertical="center"/>
    </xf>
    <xf numFmtId="0" fontId="3" fillId="10" borderId="44" xfId="1" applyFont="1" applyFill="1" applyBorder="1" applyAlignment="1">
      <alignment horizontal="center" vertical="center" wrapText="1"/>
    </xf>
    <xf numFmtId="166" fontId="0" fillId="11" borderId="43" xfId="2" applyNumberFormat="1" applyFont="1" applyFill="1" applyBorder="1" applyAlignment="1">
      <alignment horizontal="center" vertical="center"/>
    </xf>
    <xf numFmtId="164" fontId="3" fillId="11" borderId="39" xfId="1" applyNumberFormat="1" applyFont="1" applyFill="1" applyBorder="1" applyAlignment="1">
      <alignment horizontal="center" vertical="center"/>
    </xf>
    <xf numFmtId="0" fontId="3" fillId="11" borderId="44" xfId="1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9" fontId="3" fillId="0" borderId="8" xfId="2" applyFont="1" applyBorder="1" applyAlignment="1">
      <alignment horizontal="center" vertical="center"/>
    </xf>
    <xf numFmtId="166" fontId="3" fillId="0" borderId="8" xfId="2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 wrapText="1"/>
    </xf>
    <xf numFmtId="165" fontId="3" fillId="0" borderId="10" xfId="1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9" fontId="5" fillId="0" borderId="54" xfId="2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9" fontId="5" fillId="12" borderId="53" xfId="2" applyFont="1" applyFill="1" applyBorder="1" applyAlignment="1">
      <alignment horizontal="center" vertical="center"/>
    </xf>
    <xf numFmtId="0" fontId="5" fillId="12" borderId="51" xfId="0" applyFont="1" applyFill="1" applyBorder="1" applyAlignment="1">
      <alignment horizontal="center" vertical="center"/>
    </xf>
    <xf numFmtId="0" fontId="7" fillId="12" borderId="50" xfId="1" applyFont="1" applyFill="1" applyBorder="1" applyAlignment="1">
      <alignment horizontal="center" vertical="center" wrapText="1"/>
    </xf>
    <xf numFmtId="0" fontId="5" fillId="13" borderId="51" xfId="0" applyFont="1" applyFill="1" applyBorder="1" applyAlignment="1">
      <alignment horizontal="center" vertical="center"/>
    </xf>
    <xf numFmtId="0" fontId="7" fillId="13" borderId="50" xfId="1" applyFont="1" applyFill="1" applyBorder="1" applyAlignment="1">
      <alignment horizontal="center" vertical="center" wrapText="1"/>
    </xf>
    <xf numFmtId="9" fontId="5" fillId="11" borderId="53" xfId="2" applyFont="1" applyFill="1" applyBorder="1" applyAlignment="1">
      <alignment horizontal="center" vertical="center"/>
    </xf>
    <xf numFmtId="0" fontId="5" fillId="11" borderId="51" xfId="0" applyFont="1" applyFill="1" applyBorder="1" applyAlignment="1">
      <alignment horizontal="center" vertical="center"/>
    </xf>
    <xf numFmtId="0" fontId="7" fillId="11" borderId="50" xfId="1" applyFont="1" applyFill="1" applyBorder="1" applyAlignment="1">
      <alignment horizontal="center" vertical="center" wrapText="1"/>
    </xf>
    <xf numFmtId="9" fontId="5" fillId="14" borderId="53" xfId="2" applyFont="1" applyFill="1" applyBorder="1" applyAlignment="1">
      <alignment horizontal="center" vertical="center"/>
    </xf>
    <xf numFmtId="0" fontId="5" fillId="14" borderId="51" xfId="0" applyFont="1" applyFill="1" applyBorder="1" applyAlignment="1">
      <alignment horizontal="center" vertical="center"/>
    </xf>
    <xf numFmtId="0" fontId="5" fillId="14" borderId="50" xfId="0" applyFont="1" applyFill="1" applyBorder="1" applyAlignment="1">
      <alignment horizontal="center" vertical="center"/>
    </xf>
    <xf numFmtId="9" fontId="5" fillId="15" borderId="53" xfId="2" applyFont="1" applyFill="1" applyBorder="1" applyAlignment="1">
      <alignment horizontal="center" vertical="center"/>
    </xf>
    <xf numFmtId="0" fontId="5" fillId="15" borderId="51" xfId="0" applyFont="1" applyFill="1" applyBorder="1" applyAlignment="1">
      <alignment horizontal="center" vertical="center"/>
    </xf>
    <xf numFmtId="0" fontId="7" fillId="15" borderId="50" xfId="1" applyFont="1" applyFill="1" applyBorder="1" applyAlignment="1">
      <alignment horizontal="center" vertical="center" wrapText="1"/>
    </xf>
    <xf numFmtId="166" fontId="5" fillId="16" borderId="53" xfId="2" applyNumberFormat="1" applyFont="1" applyFill="1" applyBorder="1" applyAlignment="1">
      <alignment horizontal="center" vertical="center"/>
    </xf>
    <xf numFmtId="0" fontId="5" fillId="16" borderId="51" xfId="0" applyFont="1" applyFill="1" applyBorder="1" applyAlignment="1">
      <alignment horizontal="center" vertical="center"/>
    </xf>
    <xf numFmtId="0" fontId="7" fillId="16" borderId="50" xfId="1" applyFont="1" applyFill="1" applyBorder="1" applyAlignment="1">
      <alignment horizontal="center" vertical="center" wrapText="1"/>
    </xf>
    <xf numFmtId="166" fontId="5" fillId="13" borderId="53" xfId="2" applyNumberFormat="1" applyFont="1" applyFill="1" applyBorder="1" applyAlignment="1">
      <alignment horizontal="center" vertical="center"/>
    </xf>
    <xf numFmtId="166" fontId="3" fillId="0" borderId="51" xfId="2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66" fontId="3" fillId="0" borderId="53" xfId="2" applyNumberFormat="1" applyFont="1" applyBorder="1" applyAlignment="1">
      <alignment horizontal="center" vertical="center"/>
    </xf>
    <xf numFmtId="0" fontId="3" fillId="0" borderId="59" xfId="1" applyFont="1" applyBorder="1" applyAlignment="1">
      <alignment horizontal="center" vertical="center" wrapText="1"/>
    </xf>
    <xf numFmtId="9" fontId="3" fillId="0" borderId="54" xfId="2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9" fontId="0" fillId="0" borderId="57" xfId="2" applyFont="1" applyBorder="1" applyAlignment="1">
      <alignment horizontal="center" vertical="center"/>
    </xf>
    <xf numFmtId="9" fontId="3" fillId="0" borderId="55" xfId="2" applyFont="1" applyBorder="1" applyAlignment="1">
      <alignment horizontal="center" vertical="center"/>
    </xf>
    <xf numFmtId="0" fontId="6" fillId="0" borderId="59" xfId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164" fontId="3" fillId="4" borderId="9" xfId="1" applyNumberFormat="1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3" fillId="4" borderId="63" xfId="1" applyFont="1" applyFill="1" applyBorder="1" applyAlignment="1">
      <alignment horizontal="center" vertical="center" wrapText="1"/>
    </xf>
    <xf numFmtId="164" fontId="3" fillId="22" borderId="62" xfId="1" applyNumberFormat="1" applyFont="1" applyFill="1" applyBorder="1" applyAlignment="1">
      <alignment horizontal="center" vertical="center"/>
    </xf>
    <xf numFmtId="0" fontId="3" fillId="22" borderId="64" xfId="1" applyFont="1" applyFill="1" applyBorder="1" applyAlignment="1">
      <alignment horizontal="center" vertical="center" wrapText="1"/>
    </xf>
    <xf numFmtId="9" fontId="5" fillId="22" borderId="65" xfId="2" applyFont="1" applyFill="1" applyBorder="1" applyAlignment="1">
      <alignment horizontal="center" vertical="center"/>
    </xf>
    <xf numFmtId="166" fontId="5" fillId="21" borderId="66" xfId="2" applyNumberFormat="1" applyFont="1" applyFill="1" applyBorder="1" applyAlignment="1">
      <alignment horizontal="center" vertical="center"/>
    </xf>
    <xf numFmtId="164" fontId="3" fillId="21" borderId="67" xfId="1" applyNumberFormat="1" applyFont="1" applyFill="1" applyBorder="1" applyAlignment="1">
      <alignment horizontal="center" vertical="center"/>
    </xf>
    <xf numFmtId="0" fontId="3" fillId="21" borderId="28" xfId="1" applyFont="1" applyFill="1" applyBorder="1" applyAlignment="1">
      <alignment horizontal="center" vertical="center" wrapText="1"/>
    </xf>
    <xf numFmtId="166" fontId="5" fillId="4" borderId="68" xfId="2" applyNumberFormat="1" applyFont="1" applyFill="1" applyBorder="1" applyAlignment="1">
      <alignment horizontal="center" vertical="center"/>
    </xf>
    <xf numFmtId="9" fontId="5" fillId="3" borderId="66" xfId="2" applyFont="1" applyFill="1" applyBorder="1" applyAlignment="1">
      <alignment horizontal="center" vertical="center"/>
    </xf>
    <xf numFmtId="164" fontId="3" fillId="3" borderId="67" xfId="1" applyNumberFormat="1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9" fontId="5" fillId="19" borderId="72" xfId="2" applyFont="1" applyFill="1" applyBorder="1" applyAlignment="1">
      <alignment horizontal="center" vertical="center"/>
    </xf>
    <xf numFmtId="164" fontId="3" fillId="19" borderId="73" xfId="1" applyNumberFormat="1" applyFont="1" applyFill="1" applyBorder="1" applyAlignment="1">
      <alignment horizontal="center" vertical="center"/>
    </xf>
    <xf numFmtId="0" fontId="9" fillId="19" borderId="69" xfId="1" applyFont="1" applyFill="1" applyBorder="1" applyAlignment="1">
      <alignment horizontal="center" vertical="center" wrapText="1"/>
    </xf>
    <xf numFmtId="166" fontId="5" fillId="18" borderId="70" xfId="2" applyNumberFormat="1" applyFont="1" applyFill="1" applyBorder="1" applyAlignment="1">
      <alignment horizontal="center" vertical="center"/>
    </xf>
    <xf numFmtId="164" fontId="3" fillId="18" borderId="74" xfId="1" applyNumberFormat="1" applyFont="1" applyFill="1" applyBorder="1" applyAlignment="1">
      <alignment horizontal="center" vertical="center"/>
    </xf>
    <xf numFmtId="0" fontId="9" fillId="18" borderId="69" xfId="1" applyFont="1" applyFill="1" applyBorder="1" applyAlignment="1">
      <alignment horizontal="center" vertical="center" wrapText="1"/>
    </xf>
    <xf numFmtId="166" fontId="5" fillId="22" borderId="70" xfId="2" applyNumberFormat="1" applyFont="1" applyFill="1" applyBorder="1" applyAlignment="1">
      <alignment horizontal="center" vertical="center"/>
    </xf>
    <xf numFmtId="164" fontId="3" fillId="22" borderId="74" xfId="1" applyNumberFormat="1" applyFont="1" applyFill="1" applyBorder="1" applyAlignment="1">
      <alignment horizontal="center" vertical="center"/>
    </xf>
    <xf numFmtId="0" fontId="9" fillId="22" borderId="69" xfId="1" applyFont="1" applyFill="1" applyBorder="1" applyAlignment="1">
      <alignment horizontal="center" vertical="center" wrapText="1"/>
    </xf>
    <xf numFmtId="9" fontId="5" fillId="25" borderId="70" xfId="2" applyFont="1" applyFill="1" applyBorder="1" applyAlignment="1">
      <alignment horizontal="center" vertical="center"/>
    </xf>
    <xf numFmtId="164" fontId="3" fillId="25" borderId="74" xfId="1" applyNumberFormat="1" applyFont="1" applyFill="1" applyBorder="1" applyAlignment="1">
      <alignment horizontal="center" vertical="center"/>
    </xf>
    <xf numFmtId="0" fontId="9" fillId="25" borderId="69" xfId="1" applyFont="1" applyFill="1" applyBorder="1" applyAlignment="1">
      <alignment horizontal="center" vertical="center" wrapText="1"/>
    </xf>
    <xf numFmtId="9" fontId="5" fillId="27" borderId="71" xfId="2" applyFont="1" applyFill="1" applyBorder="1" applyAlignment="1">
      <alignment horizontal="center" vertical="center"/>
    </xf>
    <xf numFmtId="164" fontId="3" fillId="27" borderId="75" xfId="1" applyNumberFormat="1" applyFont="1" applyFill="1" applyBorder="1" applyAlignment="1">
      <alignment horizontal="center" vertical="center"/>
    </xf>
    <xf numFmtId="0" fontId="8" fillId="27" borderId="77" xfId="0" applyFont="1" applyFill="1" applyBorder="1" applyAlignment="1">
      <alignment horizontal="center" vertical="center"/>
    </xf>
    <xf numFmtId="164" fontId="3" fillId="0" borderId="84" xfId="1" applyNumberFormat="1" applyFont="1" applyBorder="1" applyAlignment="1">
      <alignment horizontal="center" vertical="center"/>
    </xf>
    <xf numFmtId="164" fontId="3" fillId="27" borderId="82" xfId="1" applyNumberFormat="1" applyFont="1" applyFill="1" applyBorder="1" applyAlignment="1">
      <alignment horizontal="center" vertical="center"/>
    </xf>
    <xf numFmtId="164" fontId="3" fillId="24" borderId="83" xfId="1" applyNumberFormat="1" applyFont="1" applyFill="1" applyBorder="1" applyAlignment="1">
      <alignment horizontal="center" vertical="center"/>
    </xf>
    <xf numFmtId="164" fontId="3" fillId="23" borderId="83" xfId="1" applyNumberFormat="1" applyFont="1" applyFill="1" applyBorder="1" applyAlignment="1">
      <alignment horizontal="center" vertical="center"/>
    </xf>
    <xf numFmtId="164" fontId="3" fillId="19" borderId="83" xfId="1" applyNumberFormat="1" applyFont="1" applyFill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6" fillId="27" borderId="78" xfId="1" applyFont="1" applyFill="1" applyBorder="1" applyAlignment="1">
      <alignment horizontal="center" vertical="center" wrapText="1"/>
    </xf>
    <xf numFmtId="0" fontId="6" fillId="23" borderId="78" xfId="1" applyFont="1" applyFill="1" applyBorder="1" applyAlignment="1">
      <alignment horizontal="center" vertical="center" wrapText="1"/>
    </xf>
    <xf numFmtId="0" fontId="6" fillId="24" borderId="78" xfId="1" applyFont="1" applyFill="1" applyBorder="1" applyAlignment="1">
      <alignment horizontal="center" vertical="center" wrapText="1"/>
    </xf>
    <xf numFmtId="0" fontId="6" fillId="19" borderId="86" xfId="1" applyFont="1" applyFill="1" applyBorder="1" applyAlignment="1">
      <alignment horizontal="center" vertical="center" wrapText="1"/>
    </xf>
    <xf numFmtId="0" fontId="5" fillId="0" borderId="78" xfId="0" applyFont="1" applyBorder="1" applyAlignment="1">
      <alignment horizontal="center" vertical="center"/>
    </xf>
    <xf numFmtId="9" fontId="5" fillId="0" borderId="80" xfId="2" applyFont="1" applyBorder="1" applyAlignment="1">
      <alignment horizontal="center" vertical="center"/>
    </xf>
    <xf numFmtId="166" fontId="5" fillId="27" borderId="81" xfId="2" applyNumberFormat="1" applyFont="1" applyFill="1" applyBorder="1" applyAlignment="1">
      <alignment horizontal="center" vertical="center"/>
    </xf>
    <xf numFmtId="166" fontId="5" fillId="23" borderId="79" xfId="2" applyNumberFormat="1" applyFont="1" applyFill="1" applyBorder="1" applyAlignment="1">
      <alignment horizontal="center" vertical="center"/>
    </xf>
    <xf numFmtId="9" fontId="5" fillId="24" borderId="79" xfId="2" applyFont="1" applyFill="1" applyBorder="1" applyAlignment="1">
      <alignment horizontal="center" vertical="center"/>
    </xf>
    <xf numFmtId="9" fontId="5" fillId="19" borderId="79" xfId="2" applyFont="1" applyFill="1" applyBorder="1" applyAlignment="1">
      <alignment horizontal="center" vertical="center"/>
    </xf>
    <xf numFmtId="9" fontId="0" fillId="0" borderId="89" xfId="2" applyFont="1" applyBorder="1" applyAlignment="1">
      <alignment horizontal="center" vertical="center"/>
    </xf>
    <xf numFmtId="164" fontId="3" fillId="0" borderId="93" xfId="1" applyNumberFormat="1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6" fillId="0" borderId="87" xfId="1" applyFont="1" applyBorder="1" applyAlignment="1">
      <alignment horizontal="center" vertical="center" wrapText="1"/>
    </xf>
    <xf numFmtId="166" fontId="0" fillId="18" borderId="90" xfId="2" applyNumberFormat="1" applyFont="1" applyFill="1" applyBorder="1" applyAlignment="1">
      <alignment horizontal="center" vertical="center"/>
    </xf>
    <xf numFmtId="164" fontId="3" fillId="18" borderId="91" xfId="1" applyNumberFormat="1" applyFont="1" applyFill="1" applyBorder="1" applyAlignment="1">
      <alignment horizontal="center" vertical="center"/>
    </xf>
    <xf numFmtId="0" fontId="6" fillId="18" borderId="87" xfId="1" applyFont="1" applyFill="1" applyBorder="1" applyAlignment="1">
      <alignment horizontal="center" vertical="center" wrapText="1"/>
    </xf>
    <xf numFmtId="9" fontId="0" fillId="17" borderId="88" xfId="2" applyFont="1" applyFill="1" applyBorder="1" applyAlignment="1">
      <alignment horizontal="center" vertical="center"/>
    </xf>
    <xf numFmtId="164" fontId="3" fillId="17" borderId="92" xfId="1" applyNumberFormat="1" applyFont="1" applyFill="1" applyBorder="1" applyAlignment="1">
      <alignment horizontal="center" vertical="center"/>
    </xf>
    <xf numFmtId="0" fontId="6" fillId="17" borderId="87" xfId="1" applyFont="1" applyFill="1" applyBorder="1" applyAlignment="1">
      <alignment horizontal="center" vertical="center" wrapText="1"/>
    </xf>
    <xf numFmtId="166" fontId="0" fillId="26" borderId="88" xfId="2" applyNumberFormat="1" applyFont="1" applyFill="1" applyBorder="1" applyAlignment="1">
      <alignment horizontal="center" vertical="center"/>
    </xf>
    <xf numFmtId="164" fontId="3" fillId="26" borderId="92" xfId="1" applyNumberFormat="1" applyFont="1" applyFill="1" applyBorder="1" applyAlignment="1">
      <alignment horizontal="center" vertical="center"/>
    </xf>
    <xf numFmtId="0" fontId="6" fillId="26" borderId="87" xfId="1" applyFont="1" applyFill="1" applyBorder="1" applyAlignment="1">
      <alignment horizontal="center" vertical="center" wrapText="1"/>
    </xf>
    <xf numFmtId="0" fontId="5" fillId="0" borderId="94" xfId="0" applyFont="1" applyBorder="1" applyAlignment="1">
      <alignment horizontal="center" vertical="center"/>
    </xf>
    <xf numFmtId="166" fontId="5" fillId="20" borderId="97" xfId="2" applyNumberFormat="1" applyFont="1" applyFill="1" applyBorder="1" applyAlignment="1">
      <alignment horizontal="center" vertical="center"/>
    </xf>
    <xf numFmtId="164" fontId="3" fillId="20" borderId="96" xfId="1" applyNumberFormat="1" applyFont="1" applyFill="1" applyBorder="1" applyAlignment="1">
      <alignment horizontal="center" vertical="center"/>
    </xf>
    <xf numFmtId="0" fontId="6" fillId="20" borderId="94" xfId="1" applyFont="1" applyFill="1" applyBorder="1" applyAlignment="1">
      <alignment horizontal="center" vertical="center" wrapText="1"/>
    </xf>
    <xf numFmtId="164" fontId="3" fillId="4" borderId="95" xfId="1" applyNumberFormat="1" applyFont="1" applyFill="1" applyBorder="1" applyAlignment="1">
      <alignment horizontal="center" vertical="center"/>
    </xf>
    <xf numFmtId="0" fontId="6" fillId="4" borderId="94" xfId="1" applyFont="1" applyFill="1" applyBorder="1" applyAlignment="1">
      <alignment horizontal="center" vertical="center" wrapText="1"/>
    </xf>
    <xf numFmtId="9" fontId="5" fillId="22" borderId="98" xfId="2" applyFont="1" applyFill="1" applyBorder="1" applyAlignment="1">
      <alignment horizontal="center" vertical="center"/>
    </xf>
    <xf numFmtId="164" fontId="3" fillId="22" borderId="95" xfId="1" applyNumberFormat="1" applyFont="1" applyFill="1" applyBorder="1" applyAlignment="1">
      <alignment horizontal="center" vertical="center"/>
    </xf>
    <xf numFmtId="0" fontId="6" fillId="22" borderId="94" xfId="1" applyFont="1" applyFill="1" applyBorder="1" applyAlignment="1">
      <alignment horizontal="center" vertical="center" wrapText="1"/>
    </xf>
    <xf numFmtId="9" fontId="5" fillId="21" borderId="98" xfId="2" applyFont="1" applyFill="1" applyBorder="1" applyAlignment="1">
      <alignment horizontal="center" vertical="center"/>
    </xf>
    <xf numFmtId="164" fontId="3" fillId="21" borderId="95" xfId="1" applyNumberFormat="1" applyFont="1" applyFill="1" applyBorder="1" applyAlignment="1">
      <alignment horizontal="center" vertical="center"/>
    </xf>
    <xf numFmtId="0" fontId="6" fillId="21" borderId="94" xfId="1" applyFont="1" applyFill="1" applyBorder="1" applyAlignment="1">
      <alignment horizontal="center" vertical="center" wrapText="1"/>
    </xf>
    <xf numFmtId="166" fontId="5" fillId="4" borderId="98" xfId="2" applyNumberFormat="1" applyFont="1" applyFill="1" applyBorder="1" applyAlignment="1">
      <alignment horizontal="center" vertical="center"/>
    </xf>
    <xf numFmtId="9" fontId="5" fillId="27" borderId="99" xfId="2" applyFont="1" applyFill="1" applyBorder="1" applyAlignment="1">
      <alignment horizontal="center" vertical="center"/>
    </xf>
    <xf numFmtId="164" fontId="3" fillId="27" borderId="100" xfId="1" applyNumberFormat="1" applyFont="1" applyFill="1" applyBorder="1" applyAlignment="1">
      <alignment horizontal="center" vertical="center"/>
    </xf>
    <xf numFmtId="0" fontId="5" fillId="27" borderId="94" xfId="0" applyFont="1" applyFill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101" xfId="0" applyFont="1" applyBorder="1" applyAlignment="1">
      <alignment horizontal="center" vertical="center"/>
    </xf>
    <xf numFmtId="166" fontId="5" fillId="28" borderId="70" xfId="2" applyNumberFormat="1" applyFont="1" applyFill="1" applyBorder="1" applyAlignment="1">
      <alignment horizontal="center" vertical="center"/>
    </xf>
    <xf numFmtId="164" fontId="3" fillId="28" borderId="74" xfId="1" applyNumberFormat="1" applyFont="1" applyFill="1" applyBorder="1" applyAlignment="1">
      <alignment horizontal="center" vertical="center"/>
    </xf>
    <xf numFmtId="0" fontId="6" fillId="28" borderId="69" xfId="1" applyFont="1" applyFill="1" applyBorder="1" applyAlignment="1">
      <alignment horizontal="center" vertical="center" wrapText="1"/>
    </xf>
    <xf numFmtId="9" fontId="5" fillId="13" borderId="72" xfId="2" applyFont="1" applyFill="1" applyBorder="1" applyAlignment="1">
      <alignment horizontal="center" vertical="center"/>
    </xf>
    <xf numFmtId="164" fontId="3" fillId="13" borderId="73" xfId="1" applyNumberFormat="1" applyFont="1" applyFill="1" applyBorder="1" applyAlignment="1">
      <alignment horizontal="center" vertical="center"/>
    </xf>
    <xf numFmtId="0" fontId="6" fillId="13" borderId="69" xfId="1" applyFont="1" applyFill="1" applyBorder="1" applyAlignment="1">
      <alignment horizontal="center" vertical="center" wrapText="1"/>
    </xf>
    <xf numFmtId="166" fontId="5" fillId="29" borderId="70" xfId="2" applyNumberFormat="1" applyFont="1" applyFill="1" applyBorder="1" applyAlignment="1">
      <alignment horizontal="center" vertical="center"/>
    </xf>
    <xf numFmtId="164" fontId="3" fillId="29" borderId="74" xfId="1" applyNumberFormat="1" applyFont="1" applyFill="1" applyBorder="1" applyAlignment="1">
      <alignment horizontal="center" vertical="center"/>
    </xf>
    <xf numFmtId="0" fontId="6" fillId="29" borderId="69" xfId="1" applyFont="1" applyFill="1" applyBorder="1" applyAlignment="1">
      <alignment horizontal="center" vertical="center" wrapText="1"/>
    </xf>
    <xf numFmtId="0" fontId="5" fillId="27" borderId="69" xfId="0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</cellXfs>
  <cellStyles count="3">
    <cellStyle name="Normal" xfId="0" builtinId="0"/>
    <cellStyle name="Normal_Sheet1" xfId="1" xr:uid="{00000000-0005-0000-0000-000001000000}"/>
    <cellStyle name="Percent" xfId="2" builtinId="5"/>
  </cellStyles>
  <dxfs count="0"/>
  <tableStyles count="0" defaultTableStyle="TableStyleMedium2" defaultPivotStyle="PivotStyleLight16"/>
  <colors>
    <mruColors>
      <color rgb="FF41C391"/>
      <color rgb="FFFF7979"/>
      <color rgb="FFFFAE5D"/>
      <color rgb="FFFF9933"/>
      <color rgb="FFFFCC66"/>
      <color rgb="FF49BFBF"/>
      <color rgb="FFFF6161"/>
      <color rgb="FFFF4747"/>
      <color rgb="FFF6FBC9"/>
      <color rgb="FFCC62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>
                <a:solidFill>
                  <a:schemeClr val="tx1"/>
                </a:solidFill>
              </a:rPr>
              <a:t>التوزيع</a:t>
            </a:r>
            <a:r>
              <a:rPr lang="ar-EG" baseline="0">
                <a:solidFill>
                  <a:schemeClr val="tx1"/>
                </a:solidFill>
              </a:rPr>
              <a:t> النسبي لعينة الدراسة وفقاً للفئات العمرية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15052398062583"/>
          <c:y val="0.16708333333333336"/>
          <c:w val="0.83069685039370078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1776-4E67-8838-FCC5D3673D3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1776-4E67-8838-FCC5D3673D3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1776-4E67-8838-FCC5D3673D3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1776-4E67-8838-FCC5D3673D3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F7ADD2A-449A-4AE3-A7A9-73844DECC27B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8-1776-4E67-8838-FCC5D3673D3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26CE5A4-0D8B-4C56-B0EC-47D6B1DE8547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A-1776-4E67-8838-FCC5D3673D3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42F6F52-6013-4619-9353-AB3F165E2D8A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0-1776-4E67-8838-FCC5D3673D3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2A762A-6E44-4DC6-8158-338A3035BB9D}" type="VALUE">
                      <a:rPr lang="en-US"/>
                      <a:pPr/>
                      <a:t>[VALUE]</a:t>
                    </a:fld>
                    <a:r>
                      <a:rPr lang="en-US"/>
                      <a:t>%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36-1776-4E67-8838-FCC5D3673D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Sheet1!$B$9:$B$12</c:f>
              <c:strCache>
                <c:ptCount val="4"/>
                <c:pt idx="0">
                  <c:v>20:29</c:v>
                </c:pt>
                <c:pt idx="1">
                  <c:v>30:39</c:v>
                </c:pt>
                <c:pt idx="2">
                  <c:v>40:49</c:v>
                </c:pt>
                <c:pt idx="3">
                  <c:v>50 فاكثر</c:v>
                </c:pt>
              </c:strCache>
            </c:strRef>
          </c:cat>
          <c:val>
            <c:numRef>
              <c:f>Sheet1!$D$9:$D$12</c:f>
              <c:numCache>
                <c:formatCode>###0.0</c:formatCode>
                <c:ptCount val="4"/>
                <c:pt idx="0">
                  <c:v>10</c:v>
                </c:pt>
                <c:pt idx="1">
                  <c:v>42.5</c:v>
                </c:pt>
                <c:pt idx="2">
                  <c:v>22.5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76-4E67-8838-FCC5D3673D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73378815"/>
        <c:axId val="673377567"/>
      </c:barChart>
      <c:catAx>
        <c:axId val="67337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77567"/>
        <c:crosses val="autoZero"/>
        <c:auto val="1"/>
        <c:lblAlgn val="ctr"/>
        <c:lblOffset val="100"/>
        <c:noMultiLvlLbl val="0"/>
      </c:catAx>
      <c:valAx>
        <c:axId val="673377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37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>
                <a:solidFill>
                  <a:schemeClr val="tx1"/>
                </a:solidFill>
              </a:rPr>
              <a:t>التوزيع النسبي لعينة</a:t>
            </a:r>
            <a:r>
              <a:rPr lang="ar-EG" baseline="0">
                <a:solidFill>
                  <a:schemeClr val="tx1"/>
                </a:solidFill>
              </a:rPr>
              <a:t> الدراسة وفقاً لمحل الاقامة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25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1742290330447747E-2"/>
          <c:y val="0.20214340515696741"/>
          <c:w val="0.80642708564093701"/>
          <c:h val="0.70622313828955696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4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1FE0-48E7-8841-BF376C3C6DDC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1FE0-48E7-8841-BF376C3C6D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Sheet1!$B$17:$B$18</c:f>
              <c:strCache>
                <c:ptCount val="2"/>
                <c:pt idx="0">
                  <c:v>حضر</c:v>
                </c:pt>
                <c:pt idx="1">
                  <c:v>ريف</c:v>
                </c:pt>
              </c:strCache>
            </c:strRef>
          </c:cat>
          <c:val>
            <c:numRef>
              <c:f>Sheet1!$D$17:$D$18</c:f>
              <c:numCache>
                <c:formatCode>###0.0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0-48E7-8841-BF376C3C6DD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ar-EG">
                <a:solidFill>
                  <a:schemeClr val="tx1"/>
                </a:solidFill>
              </a:rPr>
              <a:t>التوزيع</a:t>
            </a:r>
            <a:r>
              <a:rPr lang="ar-EG" baseline="0">
                <a:solidFill>
                  <a:schemeClr val="tx1"/>
                </a:solidFill>
              </a:rPr>
              <a:t> النسبي لعينة الدراسة وفقاً لنوع المسكن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92568243024497"/>
          <c:y val="0.19200389886952796"/>
          <c:w val="0.38010266248296815"/>
          <c:h val="0.7126922544571016"/>
        </c:manualLayout>
      </c:layout>
      <c:doughnut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B4-4D30-9E28-0DB462D78C07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B4-4D30-9E28-0DB462D78C07}"/>
              </c:ext>
            </c:extLst>
          </c:dPt>
          <c:dLbls>
            <c:dLbl>
              <c:idx val="0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B4-4D30-9E28-0DB462D78C07}"/>
                </c:ext>
              </c:extLst>
            </c:dLbl>
            <c:dLbl>
              <c:idx val="1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B4-4D30-9E28-0DB462D78C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Sheet1!$B$23:$B$24</c:f>
              <c:strCache>
                <c:ptCount val="2"/>
                <c:pt idx="0">
                  <c:v>ملك</c:v>
                </c:pt>
                <c:pt idx="1">
                  <c:v>إيجار</c:v>
                </c:pt>
              </c:strCache>
            </c:strRef>
          </c:cat>
          <c:val>
            <c:numRef>
              <c:f>Sheet1!$D$23:$D$24</c:f>
              <c:numCache>
                <c:formatCode>###0.0</c:formatCode>
                <c:ptCount val="2"/>
                <c:pt idx="0">
                  <c:v>80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F-483D-AFB7-715A53089C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85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300">
                <a:solidFill>
                  <a:schemeClr val="tx1"/>
                </a:solidFill>
                <a:effectLst/>
              </a:rPr>
              <a:t>التوزيع النسبي لعينة الدراسة وفقاً لمتوسط الدخل الشهري للأسرة</a:t>
            </a:r>
            <a:endParaRPr lang="en-US" sz="1300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419-4CF6-91F0-E6BE9CDB52A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19-4CF6-91F0-E6BE9CDB52A7}"/>
              </c:ext>
            </c:extLst>
          </c:dPt>
          <c:dPt>
            <c:idx val="2"/>
            <c:invertIfNegative val="0"/>
            <c:bubble3D val="0"/>
            <c:spPr>
              <a:solidFill>
                <a:srgbClr val="41C3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419-4CF6-91F0-E6BE9CDB52A7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F419-4CF6-91F0-E6BE9CDB52A7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040E03EE-DCA6-4D3D-850B-C6D8EF973EDD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419-4CF6-91F0-E6BE9CDB52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Sheet1!$B$50:$B$53</c:f>
              <c:strCache>
                <c:ptCount val="4"/>
                <c:pt idx="0">
                  <c:v>اقل من 3000</c:v>
                </c:pt>
                <c:pt idx="1">
                  <c:v>من 3000 الي 5000</c:v>
                </c:pt>
                <c:pt idx="2">
                  <c:v>من 5000 الي 8000</c:v>
                </c:pt>
                <c:pt idx="3">
                  <c:v> اكثر من 8000</c:v>
                </c:pt>
              </c:strCache>
            </c:strRef>
          </c:cat>
          <c:val>
            <c:numRef>
              <c:f>Sheet1!$D$50:$D$53</c:f>
              <c:numCache>
                <c:formatCode>0%</c:formatCode>
                <c:ptCount val="4"/>
                <c:pt idx="0">
                  <c:v>0.35</c:v>
                </c:pt>
                <c:pt idx="1">
                  <c:v>0.45</c:v>
                </c:pt>
                <c:pt idx="2">
                  <c:v>0.15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9-4CF6-91F0-E6BE9CDB52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00824016"/>
        <c:axId val="1100830256"/>
      </c:barChart>
      <c:catAx>
        <c:axId val="110082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830256"/>
        <c:crosses val="autoZero"/>
        <c:auto val="1"/>
        <c:lblAlgn val="ctr"/>
        <c:lblOffset val="100"/>
        <c:noMultiLvlLbl val="0"/>
      </c:catAx>
      <c:valAx>
        <c:axId val="110083025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10082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400" b="1">
                <a:solidFill>
                  <a:schemeClr val="tx1"/>
                </a:solidFill>
                <a:effectLst/>
              </a:rPr>
              <a:t>التوزيع النسبي لعينة الدراسة وفقاً للوعي بالصحة الانجابية</a:t>
            </a:r>
            <a:endParaRPr lang="en-US" sz="1400" b="1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rgbClr val="00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CD-4F69-81DA-E325B28968F7}"/>
              </c:ext>
            </c:extLst>
          </c:dPt>
          <c:dPt>
            <c:idx val="1"/>
            <c:bubble3D val="0"/>
            <c:explosion val="4"/>
            <c:spPr>
              <a:solidFill>
                <a:srgbClr val="F4203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CD-4F69-81DA-E325B28968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Sheet1!$B$64:$B$65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Sheet1!$D$64:$D$65</c:f>
              <c:numCache>
                <c:formatCode>0.0%</c:formatCode>
                <c:ptCount val="2"/>
                <c:pt idx="0">
                  <c:v>0.82499999999999996</c:v>
                </c:pt>
                <c:pt idx="1">
                  <c:v>0.17499999999999999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D-4F69-81DA-E325B28968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85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E9-4B4E-9204-B721B63843EC}"/>
              </c:ext>
            </c:extLst>
          </c:dPt>
          <c:dPt>
            <c:idx val="1"/>
            <c:invertIfNegative val="0"/>
            <c:bubble3D val="0"/>
            <c:spPr>
              <a:solidFill>
                <a:srgbClr val="CC629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4E9-4B4E-9204-B721B63843EC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4E9-4B4E-9204-B721B63843EC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4E9-4B4E-9204-B721B63843EC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E9-4B4E-9204-B721B63843EC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4E9-4B4E-9204-B721B63843EC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4E9-4B4E-9204-B721B63843EC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4E9-4B4E-9204-B721B638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Sheet1!$B$79:$B$82</c:f>
              <c:strCache>
                <c:ptCount val="4"/>
                <c:pt idx="0">
                  <c:v>الندوات التثقيفية</c:v>
                </c:pt>
                <c:pt idx="1">
                  <c:v>وسائل الاعلام و التليفزيون</c:v>
                </c:pt>
                <c:pt idx="2">
                  <c:v>كتب تثقيفية متخصصة</c:v>
                </c:pt>
                <c:pt idx="3">
                  <c:v>الوحدات الصحية</c:v>
                </c:pt>
              </c:strCache>
            </c:strRef>
          </c:cat>
          <c:val>
            <c:numRef>
              <c:f>Sheet1!$D$79:$D$82</c:f>
              <c:numCache>
                <c:formatCode>0.0%</c:formatCode>
                <c:ptCount val="4"/>
                <c:pt idx="0">
                  <c:v>0.17499999999999999</c:v>
                </c:pt>
                <c:pt idx="1">
                  <c:v>0.67500000000000004</c:v>
                </c:pt>
                <c:pt idx="2">
                  <c:v>7.4999999999999997E-2</c:v>
                </c:pt>
                <c:pt idx="3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9-4B4E-9204-B721B638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315520"/>
        <c:axId val="501309696"/>
      </c:barChart>
      <c:catAx>
        <c:axId val="50131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309696"/>
        <c:crosses val="autoZero"/>
        <c:auto val="1"/>
        <c:lblAlgn val="ctr"/>
        <c:lblOffset val="100"/>
        <c:noMultiLvlLbl val="0"/>
      </c:catAx>
      <c:valAx>
        <c:axId val="50130969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50131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A74-4B24-8B85-F5AE05D2E0F3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74-4B24-8B85-F5AE05D2E0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Sheet1!$B$87:$B$88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Sheet1!$D$87:$D$88</c:f>
              <c:numCache>
                <c:formatCode>0%</c:formatCode>
                <c:ptCount val="2"/>
                <c:pt idx="0">
                  <c:v>0.65</c:v>
                </c:pt>
                <c:pt idx="1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4-4B24-8B85-F5AE05D2E0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2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937206107501536"/>
          <c:y val="5.2235675011379643E-2"/>
          <c:w val="9.3432735852957652E-2"/>
          <c:h val="0.264639514986843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7908461857284E-2"/>
          <c:y val="5.2283501579919844E-2"/>
          <c:w val="0.83629579571002077"/>
          <c:h val="0.833397892417245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4031-4D9A-8A39-7F9230D2561C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31-4D9A-8A39-7F9230D256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Sheet1!$B$93:$B$94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Sheet1!$D$93:$D$94</c:f>
              <c:numCache>
                <c:formatCode>0%</c:formatCode>
                <c:ptCount val="2"/>
                <c:pt idx="0">
                  <c:v>0.85</c:v>
                </c:pt>
                <c:pt idx="1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1-4D9A-8A39-7F9230D256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15514815"/>
        <c:axId val="1915518559"/>
      </c:barChart>
      <c:catAx>
        <c:axId val="191551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518559"/>
        <c:crosses val="autoZero"/>
        <c:auto val="1"/>
        <c:lblAlgn val="ctr"/>
        <c:lblOffset val="100"/>
        <c:noMultiLvlLbl val="0"/>
      </c:catAx>
      <c:valAx>
        <c:axId val="1915518559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51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278265646821165"/>
          <c:y val="5.9431782755127199E-2"/>
          <c:w val="7.1490270101858946E-2"/>
          <c:h val="0.177685311704356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11832895888015"/>
          <c:y val="6.0601851851851851E-2"/>
          <c:w val="0.50843022747156608"/>
          <c:h val="0.84738371245261013"/>
        </c:manualLayout>
      </c:layout>
      <c:doughnutChart>
        <c:varyColors val="1"/>
        <c:ser>
          <c:idx val="0"/>
          <c:order val="0"/>
          <c:explosion val="4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D0-42FD-AC88-0CDDF74CE792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D0-42FD-AC88-0CDDF74CE7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Sheet1!$B$99:$B$100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Sheet1!$D$99:$D$100</c:f>
              <c:numCache>
                <c:formatCode>0%</c:formatCode>
                <c:ptCount val="2"/>
                <c:pt idx="0">
                  <c:v>0.45</c:v>
                </c:pt>
                <c:pt idx="1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0-42FD-AC88-0CDDF74CE7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1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314851268591431"/>
          <c:y val="4.2452974628171471E-2"/>
          <c:w val="9.0007524417472382E-2"/>
          <c:h val="0.277028837316566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481341211092417E-2"/>
          <c:y val="0.12542605973292645"/>
          <c:w val="0.83435868665583157"/>
          <c:h val="0.736932419303268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9BFB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6E2-4053-AA2B-0969FD579348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6E2-4053-AA2B-0969FD5793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Sheet1!$B$105:$B$106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Sheet1!$D$105:$D$106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2-4053-AA2B-0969FD5793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2306687"/>
        <c:axId val="2002307103"/>
      </c:barChart>
      <c:catAx>
        <c:axId val="200230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07103"/>
        <c:crosses val="autoZero"/>
        <c:auto val="1"/>
        <c:lblAlgn val="ctr"/>
        <c:lblOffset val="100"/>
        <c:noMultiLvlLbl val="0"/>
      </c:catAx>
      <c:valAx>
        <c:axId val="200230710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230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17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9BFB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0-2EE2-449A-8A60-52692B71EDD9}"/>
              </c:ext>
            </c:extLst>
          </c:dPt>
          <c:dPt>
            <c:idx val="1"/>
            <c:bubble3D val="0"/>
            <c:explosion val="6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EE2-449A-8A60-52692B71ED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Sheet1!$B$111:$B$112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Sheet1!$D$111:$D$112</c:f>
              <c:numCache>
                <c:formatCode>0.0%</c:formatCode>
                <c:ptCount val="2"/>
                <c:pt idx="0">
                  <c:v>0.82499999999999996</c:v>
                </c:pt>
                <c:pt idx="1">
                  <c:v>0.17499999999999999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2-449A-8A60-52692B71EDD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46541633401033E-2"/>
          <c:y val="0.11649252028586531"/>
          <c:w val="0.75285667207716833"/>
          <c:h val="0.744262800704917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1C3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74C-475E-8F18-AE733283B80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4C-475E-8F18-AE733283B80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Sheet1!$B$123:$B$124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Sheet1!$D$123:$D$124</c:f>
              <c:numCache>
                <c:formatCode>0.0%</c:formatCode>
                <c:ptCount val="2"/>
                <c:pt idx="0">
                  <c:v>0.92500000000000004</c:v>
                </c:pt>
                <c:pt idx="1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C-475E-8F18-AE733283B8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07667215"/>
        <c:axId val="2007667631"/>
      </c:barChart>
      <c:catAx>
        <c:axId val="2007667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67631"/>
        <c:crosses val="autoZero"/>
        <c:auto val="1"/>
        <c:lblAlgn val="ctr"/>
        <c:lblOffset val="100"/>
        <c:noMultiLvlLbl val="0"/>
      </c:catAx>
      <c:valAx>
        <c:axId val="2007667631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667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781124234470688"/>
          <c:y val="6.1612350539515928E-2"/>
          <c:w val="7.7188757655293094E-2"/>
          <c:h val="0.17307159521726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explosion val="2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79-41BF-9A67-0B165082AFDE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A79-41BF-9A67-0B165082AF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Sheet1!$B$129:$B$130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Sheet1!$D$129:$D$130</c:f>
              <c:numCache>
                <c:formatCode>0.0%</c:formatCode>
                <c:ptCount val="2"/>
                <c:pt idx="0">
                  <c:v>0.47499999999999998</c:v>
                </c:pt>
                <c:pt idx="1">
                  <c:v>0.52500000000000002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9-41BF-9A67-0B165082AF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44B-4E8C-A498-5302CAD6B472}"/>
              </c:ext>
            </c:extLst>
          </c:dPt>
          <c:dPt>
            <c:idx val="1"/>
            <c:invertIfNegative val="0"/>
            <c:bubble3D val="0"/>
            <c:spPr>
              <a:solidFill>
                <a:srgbClr val="B67D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44B-4E8C-A498-5302CAD6B4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Sheet1!$B$147:$B$148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Sheet1!$D$147:$D$148</c:f>
              <c:numCache>
                <c:formatCode>0%</c:formatCode>
                <c:ptCount val="2"/>
                <c:pt idx="0">
                  <c:v>0.35</c:v>
                </c:pt>
                <c:pt idx="1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B-4E8C-A498-5302CAD6B4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6044063"/>
        <c:axId val="1996044479"/>
      </c:barChart>
      <c:catAx>
        <c:axId val="1996044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44479"/>
        <c:crosses val="autoZero"/>
        <c:auto val="1"/>
        <c:lblAlgn val="ctr"/>
        <c:lblOffset val="100"/>
        <c:noMultiLvlLbl val="0"/>
      </c:catAx>
      <c:valAx>
        <c:axId val="1996044479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9960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691382327209099"/>
          <c:y val="6.7129629629629636E-2"/>
          <c:w val="0.52500000000000002"/>
          <c:h val="0.87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AB-4D4A-B2DE-2CBA90F6DBF8}"/>
              </c:ext>
            </c:extLst>
          </c:dPt>
          <c:dPt>
            <c:idx val="1"/>
            <c:bubble3D val="0"/>
            <c:explosion val="3"/>
            <c:spPr>
              <a:solidFill>
                <a:srgbClr val="41C39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AB-4D4A-B2DE-2CBA90F6DB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Sheet1!$B$204:$B$205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Sheet1!$D$204:$D$205</c:f>
              <c:numCache>
                <c:formatCode>###0.0</c:formatCode>
                <c:ptCount val="2"/>
                <c:pt idx="0">
                  <c:v>87.5</c:v>
                </c:pt>
                <c:pt idx="1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B-4D4A-B2DE-2CBA90F6DB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70"/>
        <c:holeSize val="6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4779090113736"/>
          <c:y val="7.0871609798775187E-2"/>
          <c:w val="0.10623482650885994"/>
          <c:h val="0.279647221472542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4EF-40E8-8774-F4761CB61D46}"/>
              </c:ext>
            </c:extLst>
          </c:dPt>
          <c:dPt>
            <c:idx val="1"/>
            <c:bubble3D val="0"/>
            <c:explosion val="7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4EF-40E8-8774-F4761CB61D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Sheet1!$B$210:$B$211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Sheet1!$D$210:$D$211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EF-40E8-8774-F4761CB61D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90"/>
        <c:holeSize val="6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37073490813646"/>
          <c:y val="7.0022601341499E-2"/>
          <c:w val="8.0061242344706907E-2"/>
          <c:h val="0.17866360454943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1C39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5DF3-4C43-9D64-9A65BB10F51F}"/>
              </c:ext>
            </c:extLst>
          </c:dPt>
          <c:dPt>
            <c:idx val="1"/>
            <c:invertIfNegative val="0"/>
            <c:bubble3D val="0"/>
            <c:spPr>
              <a:solidFill>
                <a:srgbClr val="FF797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DF3-4C43-9D64-9A65BB10F5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Sheet1!$B$229:$B$230</c:f>
              <c:strCache>
                <c:ptCount val="2"/>
                <c:pt idx="0">
                  <c:v>نعم</c:v>
                </c:pt>
                <c:pt idx="1">
                  <c:v>لا</c:v>
                </c:pt>
              </c:strCache>
            </c:strRef>
          </c:cat>
          <c:val>
            <c:numRef>
              <c:f>Sheet1!$D$229:$D$230</c:f>
              <c:numCache>
                <c:formatCode>0%</c:formatCode>
                <c:ptCount val="2"/>
                <c:pt idx="0">
                  <c:v>0.7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3-4C43-9D64-9A65BB10F5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126751808"/>
        <c:axId val="2126757216"/>
      </c:barChart>
      <c:catAx>
        <c:axId val="2126751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757216"/>
        <c:crosses val="autoZero"/>
        <c:auto val="1"/>
        <c:lblAlgn val="ctr"/>
        <c:lblOffset val="100"/>
        <c:noMultiLvlLbl val="0"/>
      </c:catAx>
      <c:valAx>
        <c:axId val="212675721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267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170013123359579"/>
          <c:y val="0.1032790172061826"/>
          <c:w val="7.7188757655293094E-2"/>
          <c:h val="0.17307159521726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11204</xdr:colOff>
      <xdr:row>6</xdr:row>
      <xdr:rowOff>369234</xdr:rowOff>
    </xdr:from>
    <xdr:to>
      <xdr:col>11</xdr:col>
      <xdr:colOff>0</xdr:colOff>
      <xdr:row>12</xdr:row>
      <xdr:rowOff>347382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124239</xdr:colOff>
      <xdr:row>14</xdr:row>
      <xdr:rowOff>364434</xdr:rowOff>
    </xdr:from>
    <xdr:to>
      <xdr:col>11</xdr:col>
      <xdr:colOff>356153</xdr:colOff>
      <xdr:row>19</xdr:row>
      <xdr:rowOff>16565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430695</xdr:colOff>
      <xdr:row>20</xdr:row>
      <xdr:rowOff>182216</xdr:rowOff>
    </xdr:from>
    <xdr:to>
      <xdr:col>12</xdr:col>
      <xdr:colOff>8281</xdr:colOff>
      <xdr:row>26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381000</xdr:colOff>
      <xdr:row>46</xdr:row>
      <xdr:rowOff>309771</xdr:rowOff>
    </xdr:from>
    <xdr:to>
      <xdr:col>10</xdr:col>
      <xdr:colOff>323022</xdr:colOff>
      <xdr:row>54</xdr:row>
      <xdr:rowOff>4971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140805</xdr:colOff>
      <xdr:row>61</xdr:row>
      <xdr:rowOff>260074</xdr:rowOff>
    </xdr:from>
    <xdr:to>
      <xdr:col>9</xdr:col>
      <xdr:colOff>405848</xdr:colOff>
      <xdr:row>66</xdr:row>
      <xdr:rowOff>265043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198783</xdr:colOff>
      <xdr:row>77</xdr:row>
      <xdr:rowOff>149087</xdr:rowOff>
    </xdr:from>
    <xdr:to>
      <xdr:col>9</xdr:col>
      <xdr:colOff>397565</xdr:colOff>
      <xdr:row>77</xdr:row>
      <xdr:rowOff>281609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253370" y="29486087"/>
          <a:ext cx="198782" cy="132522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397564</xdr:colOff>
      <xdr:row>78</xdr:row>
      <xdr:rowOff>115958</xdr:rowOff>
    </xdr:from>
    <xdr:to>
      <xdr:col>9</xdr:col>
      <xdr:colOff>1747631</xdr:colOff>
      <xdr:row>82</xdr:row>
      <xdr:rowOff>178906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422414</xdr:colOff>
      <xdr:row>84</xdr:row>
      <xdr:rowOff>94422</xdr:rowOff>
    </xdr:from>
    <xdr:to>
      <xdr:col>9</xdr:col>
      <xdr:colOff>737153</xdr:colOff>
      <xdr:row>89</xdr:row>
      <xdr:rowOff>41413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579784</xdr:colOff>
      <xdr:row>90</xdr:row>
      <xdr:rowOff>132522</xdr:rowOff>
    </xdr:from>
    <xdr:to>
      <xdr:col>9</xdr:col>
      <xdr:colOff>1507435</xdr:colOff>
      <xdr:row>95</xdr:row>
      <xdr:rowOff>16566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604632</xdr:colOff>
      <xdr:row>96</xdr:row>
      <xdr:rowOff>218660</xdr:rowOff>
    </xdr:from>
    <xdr:to>
      <xdr:col>9</xdr:col>
      <xdr:colOff>207066</xdr:colOff>
      <xdr:row>101</xdr:row>
      <xdr:rowOff>82826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223631</xdr:colOff>
      <xdr:row>102</xdr:row>
      <xdr:rowOff>342901</xdr:rowOff>
    </xdr:from>
    <xdr:to>
      <xdr:col>9</xdr:col>
      <xdr:colOff>911087</xdr:colOff>
      <xdr:row>107</xdr:row>
      <xdr:rowOff>57979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223631</xdr:colOff>
      <xdr:row>109</xdr:row>
      <xdr:rowOff>309770</xdr:rowOff>
    </xdr:from>
    <xdr:to>
      <xdr:col>9</xdr:col>
      <xdr:colOff>1043609</xdr:colOff>
      <xdr:row>114</xdr:row>
      <xdr:rowOff>66261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318881</xdr:colOff>
      <xdr:row>120</xdr:row>
      <xdr:rowOff>334617</xdr:rowOff>
    </xdr:from>
    <xdr:to>
      <xdr:col>9</xdr:col>
      <xdr:colOff>1109870</xdr:colOff>
      <xdr:row>125</xdr:row>
      <xdr:rowOff>173935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74544</xdr:colOff>
      <xdr:row>125</xdr:row>
      <xdr:rowOff>351183</xdr:rowOff>
    </xdr:from>
    <xdr:to>
      <xdr:col>9</xdr:col>
      <xdr:colOff>869674</xdr:colOff>
      <xdr:row>130</xdr:row>
      <xdr:rowOff>331304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99393</xdr:colOff>
      <xdr:row>144</xdr:row>
      <xdr:rowOff>372718</xdr:rowOff>
    </xdr:from>
    <xdr:to>
      <xdr:col>9</xdr:col>
      <xdr:colOff>621196</xdr:colOff>
      <xdr:row>148</xdr:row>
      <xdr:rowOff>372718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588066</xdr:colOff>
      <xdr:row>202</xdr:row>
      <xdr:rowOff>28160</xdr:rowOff>
    </xdr:from>
    <xdr:to>
      <xdr:col>9</xdr:col>
      <xdr:colOff>430696</xdr:colOff>
      <xdr:row>206</xdr:row>
      <xdr:rowOff>256761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107673</xdr:colOff>
      <xdr:row>206</xdr:row>
      <xdr:rowOff>44727</xdr:rowOff>
    </xdr:from>
    <xdr:to>
      <xdr:col>10</xdr:col>
      <xdr:colOff>455543</xdr:colOff>
      <xdr:row>213</xdr:row>
      <xdr:rowOff>120927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430695</xdr:colOff>
      <xdr:row>226</xdr:row>
      <xdr:rowOff>3312</xdr:rowOff>
    </xdr:from>
    <xdr:to>
      <xdr:col>11</xdr:col>
      <xdr:colOff>165652</xdr:colOff>
      <xdr:row>233</xdr:row>
      <xdr:rowOff>79512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5"/>
  <sheetViews>
    <sheetView tabSelected="1" zoomScale="115" zoomScaleNormal="115" workbookViewId="0">
      <selection activeCell="D229" activeCellId="1" sqref="B229:B230 D229:D230"/>
    </sheetView>
  </sheetViews>
  <sheetFormatPr defaultRowHeight="15" x14ac:dyDescent="0.25"/>
  <cols>
    <col min="1" max="3" width="9.140625" style="4"/>
    <col min="4" max="4" width="12.85546875" style="4" bestFit="1" customWidth="1"/>
    <col min="5" max="7" width="9.140625" style="4"/>
    <col min="8" max="8" width="13" style="4" customWidth="1"/>
    <col min="9" max="9" width="13.42578125" style="4" customWidth="1"/>
    <col min="10" max="10" width="27.7109375" style="4" customWidth="1"/>
    <col min="11" max="16384" width="9.140625" style="4"/>
  </cols>
  <sheetData>
    <row r="1" spans="1:5" ht="30" customHeight="1" thickBot="1" x14ac:dyDescent="0.3">
      <c r="A1" s="189" t="s">
        <v>1</v>
      </c>
      <c r="B1" s="189"/>
      <c r="C1" s="189"/>
      <c r="D1" s="189"/>
      <c r="E1" s="3"/>
    </row>
    <row r="2" spans="1:5" ht="30" customHeight="1" thickTop="1" thickBot="1" x14ac:dyDescent="0.3">
      <c r="A2" s="190" t="s">
        <v>0</v>
      </c>
      <c r="B2" s="191"/>
      <c r="C2" s="1" t="s">
        <v>93</v>
      </c>
      <c r="D2" s="2" t="s">
        <v>94</v>
      </c>
      <c r="E2" s="3"/>
    </row>
    <row r="3" spans="1:5" ht="30" customHeight="1" thickTop="1" x14ac:dyDescent="0.25">
      <c r="A3" s="192"/>
      <c r="B3" s="5" t="s">
        <v>2</v>
      </c>
      <c r="C3" s="6">
        <v>26</v>
      </c>
      <c r="D3" s="7">
        <v>65</v>
      </c>
      <c r="E3" s="3"/>
    </row>
    <row r="4" spans="1:5" ht="30" customHeight="1" x14ac:dyDescent="0.25">
      <c r="A4" s="193"/>
      <c r="B4" s="8" t="s">
        <v>3</v>
      </c>
      <c r="C4" s="9">
        <v>14</v>
      </c>
      <c r="D4" s="10">
        <v>35</v>
      </c>
      <c r="E4" s="3"/>
    </row>
    <row r="5" spans="1:5" ht="30" customHeight="1" thickBot="1" x14ac:dyDescent="0.3">
      <c r="A5" s="194"/>
      <c r="B5" s="11" t="s">
        <v>4</v>
      </c>
      <c r="C5" s="12">
        <v>40</v>
      </c>
      <c r="D5" s="13">
        <v>100</v>
      </c>
      <c r="E5" s="3"/>
    </row>
    <row r="6" spans="1:5" ht="30" customHeight="1" thickTop="1" x14ac:dyDescent="0.25">
      <c r="A6" s="3"/>
      <c r="B6" s="3"/>
      <c r="C6" s="3"/>
      <c r="D6" s="3"/>
      <c r="E6" s="3"/>
    </row>
    <row r="7" spans="1:5" ht="30" customHeight="1" thickBot="1" x14ac:dyDescent="0.3">
      <c r="A7" s="189" t="s">
        <v>5</v>
      </c>
      <c r="B7" s="189"/>
      <c r="C7" s="189"/>
      <c r="D7" s="189"/>
      <c r="E7" s="3"/>
    </row>
    <row r="8" spans="1:5" ht="30" customHeight="1" thickTop="1" thickBot="1" x14ac:dyDescent="0.3">
      <c r="A8" s="190" t="s">
        <v>0</v>
      </c>
      <c r="B8" s="191"/>
      <c r="C8" s="1" t="s">
        <v>93</v>
      </c>
      <c r="D8" s="2" t="s">
        <v>94</v>
      </c>
      <c r="E8" s="3"/>
    </row>
    <row r="9" spans="1:5" ht="30" customHeight="1" thickTop="1" x14ac:dyDescent="0.25">
      <c r="A9" s="192"/>
      <c r="B9" s="5" t="s">
        <v>6</v>
      </c>
      <c r="C9" s="6">
        <v>4</v>
      </c>
      <c r="D9" s="7">
        <v>10</v>
      </c>
      <c r="E9" s="3"/>
    </row>
    <row r="10" spans="1:5" ht="30" customHeight="1" x14ac:dyDescent="0.25">
      <c r="A10" s="193"/>
      <c r="B10" s="8" t="s">
        <v>7</v>
      </c>
      <c r="C10" s="9">
        <v>17</v>
      </c>
      <c r="D10" s="10">
        <v>42.5</v>
      </c>
      <c r="E10" s="3"/>
    </row>
    <row r="11" spans="1:5" ht="30" customHeight="1" x14ac:dyDescent="0.25">
      <c r="A11" s="193"/>
      <c r="B11" s="8" t="s">
        <v>8</v>
      </c>
      <c r="C11" s="9">
        <v>9</v>
      </c>
      <c r="D11" s="10">
        <v>22.5</v>
      </c>
      <c r="E11" s="3"/>
    </row>
    <row r="12" spans="1:5" ht="30" customHeight="1" x14ac:dyDescent="0.25">
      <c r="A12" s="193"/>
      <c r="B12" s="8" t="s">
        <v>9</v>
      </c>
      <c r="C12" s="9">
        <v>10</v>
      </c>
      <c r="D12" s="10">
        <v>25</v>
      </c>
      <c r="E12" s="3"/>
    </row>
    <row r="13" spans="1:5" ht="30" customHeight="1" thickBot="1" x14ac:dyDescent="0.3">
      <c r="A13" s="194"/>
      <c r="B13" s="11" t="s">
        <v>4</v>
      </c>
      <c r="C13" s="12">
        <v>40</v>
      </c>
      <c r="D13" s="13">
        <v>100</v>
      </c>
      <c r="E13" s="3"/>
    </row>
    <row r="14" spans="1:5" ht="30" customHeight="1" thickTop="1" x14ac:dyDescent="0.25">
      <c r="A14" s="3"/>
      <c r="B14" s="3"/>
      <c r="C14" s="3"/>
      <c r="D14" s="3"/>
      <c r="E14" s="3"/>
    </row>
    <row r="15" spans="1:5" ht="30" customHeight="1" thickBot="1" x14ac:dyDescent="0.3">
      <c r="A15" s="189" t="s">
        <v>10</v>
      </c>
      <c r="B15" s="189"/>
      <c r="C15" s="189"/>
      <c r="D15" s="189"/>
      <c r="E15" s="3"/>
    </row>
    <row r="16" spans="1:5" ht="30" customHeight="1" thickTop="1" thickBot="1" x14ac:dyDescent="0.3">
      <c r="A16" s="190" t="s">
        <v>0</v>
      </c>
      <c r="B16" s="191"/>
      <c r="C16" s="1" t="s">
        <v>93</v>
      </c>
      <c r="D16" s="2" t="s">
        <v>94</v>
      </c>
      <c r="E16" s="3"/>
    </row>
    <row r="17" spans="1:10" ht="30" customHeight="1" thickTop="1" x14ac:dyDescent="0.25">
      <c r="A17" s="192"/>
      <c r="B17" s="5" t="s">
        <v>11</v>
      </c>
      <c r="C17" s="6">
        <v>20</v>
      </c>
      <c r="D17" s="7">
        <v>50</v>
      </c>
      <c r="E17" s="3"/>
    </row>
    <row r="18" spans="1:10" ht="30" customHeight="1" x14ac:dyDescent="0.25">
      <c r="A18" s="193"/>
      <c r="B18" s="8" t="s">
        <v>12</v>
      </c>
      <c r="C18" s="9">
        <v>20</v>
      </c>
      <c r="D18" s="10">
        <v>50</v>
      </c>
      <c r="E18" s="3"/>
    </row>
    <row r="19" spans="1:10" ht="30" customHeight="1" thickBot="1" x14ac:dyDescent="0.3">
      <c r="A19" s="194"/>
      <c r="B19" s="11" t="s">
        <v>4</v>
      </c>
      <c r="C19" s="12">
        <v>40</v>
      </c>
      <c r="D19" s="13">
        <v>100</v>
      </c>
      <c r="E19" s="3"/>
    </row>
    <row r="20" spans="1:10" ht="30" customHeight="1" thickTop="1" x14ac:dyDescent="0.25">
      <c r="A20" s="3"/>
      <c r="B20" s="3"/>
      <c r="C20" s="3"/>
      <c r="D20" s="3"/>
      <c r="E20" s="3"/>
    </row>
    <row r="21" spans="1:10" ht="30" customHeight="1" thickBot="1" x14ac:dyDescent="0.3">
      <c r="A21" s="189" t="s">
        <v>13</v>
      </c>
      <c r="B21" s="189"/>
      <c r="C21" s="189"/>
      <c r="D21" s="189"/>
      <c r="E21" s="3"/>
    </row>
    <row r="22" spans="1:10" ht="30" customHeight="1" thickTop="1" thickBot="1" x14ac:dyDescent="0.3">
      <c r="A22" s="190" t="s">
        <v>0</v>
      </c>
      <c r="B22" s="191"/>
      <c r="C22" s="1" t="s">
        <v>93</v>
      </c>
      <c r="D22" s="2" t="s">
        <v>94</v>
      </c>
      <c r="E22" s="3"/>
    </row>
    <row r="23" spans="1:10" ht="30" customHeight="1" thickTop="1" x14ac:dyDescent="0.25">
      <c r="A23" s="192"/>
      <c r="B23" s="5" t="s">
        <v>14</v>
      </c>
      <c r="C23" s="6">
        <v>32</v>
      </c>
      <c r="D23" s="7">
        <v>80</v>
      </c>
      <c r="E23" s="3"/>
    </row>
    <row r="24" spans="1:10" ht="30" customHeight="1" x14ac:dyDescent="0.25">
      <c r="A24" s="193"/>
      <c r="B24" s="8" t="s">
        <v>95</v>
      </c>
      <c r="C24" s="9">
        <v>8</v>
      </c>
      <c r="D24" s="10">
        <v>20</v>
      </c>
      <c r="E24" s="3"/>
    </row>
    <row r="25" spans="1:10" ht="30" customHeight="1" thickBot="1" x14ac:dyDescent="0.3">
      <c r="A25" s="194"/>
      <c r="B25" s="11" t="s">
        <v>4</v>
      </c>
      <c r="C25" s="12">
        <v>40</v>
      </c>
      <c r="D25" s="13">
        <v>100</v>
      </c>
      <c r="E25" s="3"/>
    </row>
    <row r="26" spans="1:10" ht="30" customHeight="1" thickTop="1" x14ac:dyDescent="0.25">
      <c r="A26" s="3"/>
      <c r="B26" s="3"/>
      <c r="C26" s="3"/>
      <c r="D26" s="3"/>
      <c r="E26" s="3"/>
    </row>
    <row r="27" spans="1:10" ht="30" customHeight="1" thickBot="1" x14ac:dyDescent="0.3">
      <c r="A27" s="189" t="s">
        <v>15</v>
      </c>
      <c r="B27" s="189"/>
      <c r="C27" s="189"/>
      <c r="D27" s="189"/>
      <c r="E27" s="3"/>
    </row>
    <row r="28" spans="1:10" ht="30" customHeight="1" thickTop="1" thickBot="1" x14ac:dyDescent="0.3">
      <c r="A28" s="190" t="s">
        <v>0</v>
      </c>
      <c r="B28" s="191"/>
      <c r="C28" s="1" t="s">
        <v>93</v>
      </c>
      <c r="D28" s="2" t="s">
        <v>94</v>
      </c>
      <c r="E28" s="3"/>
      <c r="H28" s="17" t="s">
        <v>94</v>
      </c>
      <c r="I28" s="18" t="s">
        <v>96</v>
      </c>
      <c r="J28" s="19" t="s">
        <v>15</v>
      </c>
    </row>
    <row r="29" spans="1:10" ht="30" customHeight="1" thickTop="1" thickBot="1" x14ac:dyDescent="0.3">
      <c r="A29" s="192"/>
      <c r="B29" s="5" t="s">
        <v>16</v>
      </c>
      <c r="C29" s="6">
        <v>37</v>
      </c>
      <c r="D29" s="7">
        <v>92.5</v>
      </c>
      <c r="E29" s="3"/>
      <c r="H29" s="20">
        <f>I29/$I$32</f>
        <v>0.92500000000000004</v>
      </c>
      <c r="I29" s="16">
        <v>37</v>
      </c>
      <c r="J29" s="21" t="s">
        <v>16</v>
      </c>
    </row>
    <row r="30" spans="1:10" ht="30" customHeight="1" thickBot="1" x14ac:dyDescent="0.3">
      <c r="A30" s="193"/>
      <c r="B30" s="8" t="s">
        <v>17</v>
      </c>
      <c r="C30" s="9">
        <v>3</v>
      </c>
      <c r="D30" s="10">
        <v>7.5</v>
      </c>
      <c r="E30" s="3"/>
      <c r="H30" s="22">
        <f t="shared" ref="H30:H31" si="0">I30/$I$32</f>
        <v>7.4999999999999997E-2</v>
      </c>
      <c r="I30" s="15">
        <v>3</v>
      </c>
      <c r="J30" s="23" t="s">
        <v>17</v>
      </c>
    </row>
    <row r="31" spans="1:10" ht="30" customHeight="1" thickBot="1" x14ac:dyDescent="0.3">
      <c r="A31" s="194"/>
      <c r="B31" s="11" t="s">
        <v>4</v>
      </c>
      <c r="C31" s="12">
        <v>40</v>
      </c>
      <c r="D31" s="13">
        <v>100</v>
      </c>
      <c r="E31" s="3"/>
      <c r="H31" s="24">
        <f t="shared" si="0"/>
        <v>0</v>
      </c>
      <c r="I31" s="14">
        <v>0</v>
      </c>
      <c r="J31" s="25" t="s">
        <v>97</v>
      </c>
    </row>
    <row r="32" spans="1:10" ht="30" customHeight="1" thickTop="1" thickBot="1" x14ac:dyDescent="0.3">
      <c r="A32" s="3"/>
      <c r="B32" s="3"/>
      <c r="C32" s="3"/>
      <c r="D32" s="3"/>
      <c r="E32" s="3"/>
      <c r="H32" s="26">
        <f>SUM(H29:H31)</f>
        <v>1</v>
      </c>
      <c r="I32" s="27">
        <f>SUM(I29:I31)</f>
        <v>40</v>
      </c>
      <c r="J32" s="28" t="s">
        <v>98</v>
      </c>
    </row>
    <row r="33" spans="1:10" ht="30" customHeight="1" thickBot="1" x14ac:dyDescent="0.3">
      <c r="A33" s="189" t="s">
        <v>18</v>
      </c>
      <c r="B33" s="189"/>
      <c r="C33" s="189"/>
      <c r="D33" s="189"/>
      <c r="E33" s="3"/>
    </row>
    <row r="34" spans="1:10" ht="30" customHeight="1" thickTop="1" thickBot="1" x14ac:dyDescent="0.3">
      <c r="A34" s="190" t="s">
        <v>0</v>
      </c>
      <c r="B34" s="191"/>
      <c r="C34" s="1" t="s">
        <v>93</v>
      </c>
      <c r="D34" s="2" t="s">
        <v>94</v>
      </c>
      <c r="E34" s="3"/>
      <c r="H34" s="30" t="s">
        <v>94</v>
      </c>
      <c r="I34" s="29" t="s">
        <v>93</v>
      </c>
      <c r="J34" s="30" t="s">
        <v>99</v>
      </c>
    </row>
    <row r="35" spans="1:10" ht="30" customHeight="1" thickTop="1" x14ac:dyDescent="0.25">
      <c r="A35" s="192"/>
      <c r="B35" s="5" t="s">
        <v>19</v>
      </c>
      <c r="C35" s="6">
        <v>16</v>
      </c>
      <c r="D35" s="7">
        <v>40</v>
      </c>
      <c r="E35" s="3"/>
      <c r="H35" s="31">
        <f>I35/$I$39</f>
        <v>0.4</v>
      </c>
      <c r="I35" s="32">
        <v>16</v>
      </c>
      <c r="J35" s="33" t="s">
        <v>19</v>
      </c>
    </row>
    <row r="36" spans="1:10" ht="30" customHeight="1" x14ac:dyDescent="0.25">
      <c r="A36" s="193"/>
      <c r="B36" s="8" t="s">
        <v>20</v>
      </c>
      <c r="C36" s="9">
        <v>4</v>
      </c>
      <c r="D36" s="10">
        <v>10</v>
      </c>
      <c r="E36" s="3"/>
      <c r="H36" s="34">
        <f t="shared" ref="H36:H39" si="1">I36/$I$39</f>
        <v>0.1</v>
      </c>
      <c r="I36" s="35">
        <v>4</v>
      </c>
      <c r="J36" s="36" t="s">
        <v>20</v>
      </c>
    </row>
    <row r="37" spans="1:10" ht="30" customHeight="1" x14ac:dyDescent="0.25">
      <c r="A37" s="193"/>
      <c r="B37" s="8" t="s">
        <v>21</v>
      </c>
      <c r="C37" s="9">
        <v>12</v>
      </c>
      <c r="D37" s="10">
        <v>30</v>
      </c>
      <c r="E37" s="3"/>
      <c r="H37" s="37">
        <f t="shared" si="1"/>
        <v>0.3</v>
      </c>
      <c r="I37" s="38">
        <v>12</v>
      </c>
      <c r="J37" s="39" t="s">
        <v>21</v>
      </c>
    </row>
    <row r="38" spans="1:10" ht="30" customHeight="1" x14ac:dyDescent="0.25">
      <c r="A38" s="193"/>
      <c r="B38" s="8" t="s">
        <v>22</v>
      </c>
      <c r="C38" s="9">
        <v>8</v>
      </c>
      <c r="D38" s="10">
        <v>20</v>
      </c>
      <c r="E38" s="3"/>
      <c r="H38" s="40">
        <f t="shared" si="1"/>
        <v>0.2</v>
      </c>
      <c r="I38" s="41">
        <v>8</v>
      </c>
      <c r="J38" s="42" t="s">
        <v>22</v>
      </c>
    </row>
    <row r="39" spans="1:10" ht="30" customHeight="1" thickBot="1" x14ac:dyDescent="0.3">
      <c r="A39" s="194"/>
      <c r="B39" s="11" t="s">
        <v>4</v>
      </c>
      <c r="C39" s="12">
        <v>40</v>
      </c>
      <c r="D39" s="13">
        <v>100</v>
      </c>
      <c r="E39" s="3"/>
      <c r="H39" s="43">
        <f t="shared" si="1"/>
        <v>1</v>
      </c>
      <c r="I39" s="44">
        <v>40</v>
      </c>
      <c r="J39" s="45" t="s">
        <v>98</v>
      </c>
    </row>
    <row r="40" spans="1:10" ht="30" customHeight="1" thickTop="1" x14ac:dyDescent="0.25">
      <c r="A40" s="3"/>
      <c r="B40" s="3"/>
      <c r="C40" s="3"/>
      <c r="D40" s="3"/>
      <c r="E40" s="3"/>
    </row>
    <row r="41" spans="1:10" ht="30" customHeight="1" thickBot="1" x14ac:dyDescent="0.3">
      <c r="A41" s="189" t="s">
        <v>23</v>
      </c>
      <c r="B41" s="189"/>
      <c r="C41" s="189"/>
      <c r="D41" s="189"/>
      <c r="E41" s="3"/>
    </row>
    <row r="42" spans="1:10" ht="30" customHeight="1" thickTop="1" thickBot="1" x14ac:dyDescent="0.3">
      <c r="A42" s="190" t="s">
        <v>0</v>
      </c>
      <c r="B42" s="191"/>
      <c r="C42" s="1" t="s">
        <v>93</v>
      </c>
      <c r="D42" s="2" t="s">
        <v>94</v>
      </c>
      <c r="E42" s="3"/>
      <c r="H42" s="58" t="s">
        <v>102</v>
      </c>
      <c r="I42" s="59" t="s">
        <v>101</v>
      </c>
      <c r="J42" s="60" t="s">
        <v>100</v>
      </c>
    </row>
    <row r="43" spans="1:10" ht="30" customHeight="1" thickTop="1" x14ac:dyDescent="0.25">
      <c r="A43" s="192"/>
      <c r="B43" s="5" t="s">
        <v>24</v>
      </c>
      <c r="C43" s="6">
        <v>32</v>
      </c>
      <c r="D43" s="7">
        <v>80</v>
      </c>
      <c r="E43" s="3"/>
      <c r="H43" s="51">
        <f>I43/$I$46</f>
        <v>0.8</v>
      </c>
      <c r="I43" s="46">
        <v>32</v>
      </c>
      <c r="J43" s="47" t="s">
        <v>24</v>
      </c>
    </row>
    <row r="44" spans="1:10" ht="30" customHeight="1" x14ac:dyDescent="0.25">
      <c r="A44" s="193"/>
      <c r="B44" s="8" t="s">
        <v>25</v>
      </c>
      <c r="C44" s="9">
        <v>3</v>
      </c>
      <c r="D44" s="10">
        <v>7.5</v>
      </c>
      <c r="E44" s="3"/>
      <c r="H44" s="55">
        <f t="shared" ref="H44:H46" si="2">I44/$I$46</f>
        <v>7.4999999999999997E-2</v>
      </c>
      <c r="I44" s="56">
        <v>3</v>
      </c>
      <c r="J44" s="57" t="s">
        <v>25</v>
      </c>
    </row>
    <row r="45" spans="1:10" ht="30" customHeight="1" x14ac:dyDescent="0.25">
      <c r="A45" s="193"/>
      <c r="B45" s="8" t="s">
        <v>26</v>
      </c>
      <c r="C45" s="9">
        <v>5</v>
      </c>
      <c r="D45" s="10">
        <v>12.5</v>
      </c>
      <c r="E45" s="3"/>
      <c r="H45" s="52">
        <f t="shared" si="2"/>
        <v>0.125</v>
      </c>
      <c r="I45" s="53">
        <v>5</v>
      </c>
      <c r="J45" s="54" t="s">
        <v>26</v>
      </c>
    </row>
    <row r="46" spans="1:10" ht="30" customHeight="1" thickBot="1" x14ac:dyDescent="0.3">
      <c r="A46" s="194"/>
      <c r="B46" s="11" t="s">
        <v>4</v>
      </c>
      <c r="C46" s="12">
        <v>40</v>
      </c>
      <c r="D46" s="13">
        <v>100</v>
      </c>
      <c r="E46" s="3"/>
      <c r="H46" s="48">
        <f t="shared" si="2"/>
        <v>1</v>
      </c>
      <c r="I46" s="49">
        <v>40</v>
      </c>
      <c r="J46" s="50" t="s">
        <v>98</v>
      </c>
    </row>
    <row r="47" spans="1:10" ht="30" customHeight="1" thickTop="1" x14ac:dyDescent="0.25">
      <c r="A47" s="3"/>
      <c r="B47" s="3"/>
      <c r="C47" s="3"/>
      <c r="D47" s="3"/>
      <c r="E47" s="3"/>
    </row>
    <row r="48" spans="1:10" ht="30" customHeight="1" thickBot="1" x14ac:dyDescent="0.3">
      <c r="A48" s="189" t="s">
        <v>27</v>
      </c>
      <c r="B48" s="189"/>
      <c r="C48" s="189"/>
      <c r="D48" s="189"/>
      <c r="E48" s="3"/>
    </row>
    <row r="49" spans="1:5" ht="30" customHeight="1" thickTop="1" thickBot="1" x14ac:dyDescent="0.3">
      <c r="A49" s="190" t="s">
        <v>0</v>
      </c>
      <c r="B49" s="191"/>
      <c r="C49" s="1" t="s">
        <v>93</v>
      </c>
      <c r="D49" s="2" t="s">
        <v>94</v>
      </c>
      <c r="E49" s="3"/>
    </row>
    <row r="50" spans="1:5" ht="30" customHeight="1" thickTop="1" thickBot="1" x14ac:dyDescent="0.3">
      <c r="A50" s="192"/>
      <c r="B50" s="5" t="s">
        <v>28</v>
      </c>
      <c r="C50" s="6">
        <v>14</v>
      </c>
      <c r="D50" s="61">
        <f>C50/$C$54</f>
        <v>0.35</v>
      </c>
      <c r="E50" s="3"/>
    </row>
    <row r="51" spans="1:5" ht="30" customHeight="1" thickTop="1" thickBot="1" x14ac:dyDescent="0.3">
      <c r="A51" s="193"/>
      <c r="B51" s="8" t="s">
        <v>29</v>
      </c>
      <c r="C51" s="9">
        <v>18</v>
      </c>
      <c r="D51" s="61">
        <f t="shared" ref="D51:D54" si="3">C51/$C$54</f>
        <v>0.45</v>
      </c>
      <c r="E51" s="3"/>
    </row>
    <row r="52" spans="1:5" ht="30" customHeight="1" thickTop="1" thickBot="1" x14ac:dyDescent="0.3">
      <c r="A52" s="193"/>
      <c r="B52" s="8" t="s">
        <v>30</v>
      </c>
      <c r="C52" s="9">
        <v>6</v>
      </c>
      <c r="D52" s="61">
        <f t="shared" si="3"/>
        <v>0.15</v>
      </c>
      <c r="E52" s="3"/>
    </row>
    <row r="53" spans="1:5" ht="30" customHeight="1" thickTop="1" thickBot="1" x14ac:dyDescent="0.3">
      <c r="A53" s="193"/>
      <c r="B53" s="8" t="s">
        <v>31</v>
      </c>
      <c r="C53" s="9">
        <v>2</v>
      </c>
      <c r="D53" s="61">
        <f t="shared" si="3"/>
        <v>0.05</v>
      </c>
      <c r="E53" s="3"/>
    </row>
    <row r="54" spans="1:5" ht="30" customHeight="1" thickTop="1" thickBot="1" x14ac:dyDescent="0.3">
      <c r="A54" s="194"/>
      <c r="B54" s="11" t="s">
        <v>4</v>
      </c>
      <c r="C54" s="12">
        <v>40</v>
      </c>
      <c r="D54" s="61">
        <f t="shared" si="3"/>
        <v>1</v>
      </c>
      <c r="E54" s="3"/>
    </row>
    <row r="55" spans="1:5" ht="30" customHeight="1" thickTop="1" x14ac:dyDescent="0.25">
      <c r="A55" s="3"/>
      <c r="B55" s="3"/>
      <c r="C55" s="3"/>
      <c r="D55" s="3"/>
      <c r="E55" s="3"/>
    </row>
    <row r="56" spans="1:5" ht="30" customHeight="1" thickBot="1" x14ac:dyDescent="0.3">
      <c r="A56" s="189" t="s">
        <v>32</v>
      </c>
      <c r="B56" s="189"/>
      <c r="C56" s="189"/>
      <c r="D56" s="189"/>
      <c r="E56" s="3"/>
    </row>
    <row r="57" spans="1:5" ht="30" customHeight="1" thickTop="1" thickBot="1" x14ac:dyDescent="0.3">
      <c r="A57" s="190" t="s">
        <v>0</v>
      </c>
      <c r="B57" s="191"/>
      <c r="C57" s="1" t="s">
        <v>93</v>
      </c>
      <c r="D57" s="2" t="s">
        <v>94</v>
      </c>
      <c r="E57" s="3"/>
    </row>
    <row r="58" spans="1:5" ht="30" customHeight="1" thickTop="1" x14ac:dyDescent="0.25">
      <c r="A58" s="192"/>
      <c r="B58" s="5" t="s">
        <v>33</v>
      </c>
      <c r="C58" s="6">
        <v>9</v>
      </c>
      <c r="D58" s="7">
        <v>22.5</v>
      </c>
      <c r="E58" s="3"/>
    </row>
    <row r="59" spans="1:5" ht="30" customHeight="1" x14ac:dyDescent="0.25">
      <c r="A59" s="193"/>
      <c r="B59" s="8" t="s">
        <v>34</v>
      </c>
      <c r="C59" s="9">
        <v>31</v>
      </c>
      <c r="D59" s="10">
        <v>77.5</v>
      </c>
      <c r="E59" s="3"/>
    </row>
    <row r="60" spans="1:5" ht="30" customHeight="1" thickBot="1" x14ac:dyDescent="0.3">
      <c r="A60" s="194"/>
      <c r="B60" s="11" t="s">
        <v>4</v>
      </c>
      <c r="C60" s="12">
        <v>40</v>
      </c>
      <c r="D60" s="13">
        <v>100</v>
      </c>
      <c r="E60" s="3"/>
    </row>
    <row r="61" spans="1:5" ht="30" customHeight="1" thickTop="1" x14ac:dyDescent="0.25">
      <c r="A61" s="3"/>
      <c r="B61" s="3"/>
      <c r="C61" s="3"/>
      <c r="D61" s="3"/>
      <c r="E61" s="3"/>
    </row>
    <row r="62" spans="1:5" ht="30" customHeight="1" thickBot="1" x14ac:dyDescent="0.3">
      <c r="A62" s="189" t="s">
        <v>35</v>
      </c>
      <c r="B62" s="189"/>
      <c r="C62" s="189"/>
      <c r="D62" s="189"/>
      <c r="E62" s="3"/>
    </row>
    <row r="63" spans="1:5" ht="30" customHeight="1" thickTop="1" thickBot="1" x14ac:dyDescent="0.3">
      <c r="A63" s="190" t="s">
        <v>0</v>
      </c>
      <c r="B63" s="191"/>
      <c r="C63" s="1" t="s">
        <v>93</v>
      </c>
      <c r="D63" s="2" t="s">
        <v>94</v>
      </c>
      <c r="E63" s="3"/>
    </row>
    <row r="64" spans="1:5" ht="30" customHeight="1" thickTop="1" thickBot="1" x14ac:dyDescent="0.3">
      <c r="A64" s="192"/>
      <c r="B64" s="63" t="s">
        <v>33</v>
      </c>
      <c r="C64" s="6">
        <v>33</v>
      </c>
      <c r="D64" s="62">
        <f>C64/$C$66</f>
        <v>0.82499999999999996</v>
      </c>
      <c r="E64" s="3"/>
    </row>
    <row r="65" spans="1:10" ht="30" customHeight="1" thickTop="1" thickBot="1" x14ac:dyDescent="0.3">
      <c r="A65" s="193"/>
      <c r="B65" s="64" t="s">
        <v>34</v>
      </c>
      <c r="C65" s="9">
        <v>7</v>
      </c>
      <c r="D65" s="62">
        <f t="shared" ref="D65:D66" si="4">C65/$C$66</f>
        <v>0.17499999999999999</v>
      </c>
      <c r="E65" s="3"/>
    </row>
    <row r="66" spans="1:10" ht="30" customHeight="1" thickTop="1" thickBot="1" x14ac:dyDescent="0.3">
      <c r="A66" s="194"/>
      <c r="B66" s="11" t="s">
        <v>4</v>
      </c>
      <c r="C66" s="12">
        <v>40</v>
      </c>
      <c r="D66" s="61">
        <f t="shared" si="4"/>
        <v>1</v>
      </c>
      <c r="E66" s="3"/>
    </row>
    <row r="67" spans="1:10" ht="30" customHeight="1" thickTop="1" x14ac:dyDescent="0.25">
      <c r="A67" s="3"/>
      <c r="B67" s="3"/>
      <c r="C67" s="3"/>
      <c r="D67" s="3"/>
      <c r="E67" s="3"/>
    </row>
    <row r="68" spans="1:10" ht="30" customHeight="1" thickBot="1" x14ac:dyDescent="0.3">
      <c r="A68" s="189" t="s">
        <v>36</v>
      </c>
      <c r="B68" s="189"/>
      <c r="C68" s="189"/>
      <c r="D68" s="189"/>
      <c r="E68" s="3"/>
    </row>
    <row r="69" spans="1:10" ht="30" customHeight="1" thickTop="1" thickBot="1" x14ac:dyDescent="0.3">
      <c r="A69" s="190" t="s">
        <v>0</v>
      </c>
      <c r="B69" s="191"/>
      <c r="C69" s="1" t="s">
        <v>93</v>
      </c>
      <c r="D69" s="2" t="s">
        <v>94</v>
      </c>
      <c r="E69" s="3"/>
      <c r="H69" s="67" t="s">
        <v>94</v>
      </c>
      <c r="I69" s="68" t="s">
        <v>93</v>
      </c>
      <c r="J69" s="65" t="s">
        <v>103</v>
      </c>
    </row>
    <row r="70" spans="1:10" ht="30" customHeight="1" thickTop="1" thickBot="1" x14ac:dyDescent="0.3">
      <c r="A70" s="192"/>
      <c r="B70" s="5" t="s">
        <v>37</v>
      </c>
      <c r="C70" s="6">
        <v>8</v>
      </c>
      <c r="D70" s="7">
        <v>20</v>
      </c>
      <c r="E70" s="3"/>
      <c r="H70" s="71">
        <f>I70/$I$76</f>
        <v>0.2</v>
      </c>
      <c r="I70" s="72">
        <v>8</v>
      </c>
      <c r="J70" s="73" t="s">
        <v>37</v>
      </c>
    </row>
    <row r="71" spans="1:10" ht="30" customHeight="1" thickBot="1" x14ac:dyDescent="0.3">
      <c r="A71" s="193"/>
      <c r="B71" s="8" t="s">
        <v>38</v>
      </c>
      <c r="C71" s="9">
        <v>4</v>
      </c>
      <c r="D71" s="10">
        <v>10</v>
      </c>
      <c r="E71" s="3"/>
      <c r="H71" s="79">
        <f t="shared" ref="H71:H76" si="5">I71/$I$76</f>
        <v>0</v>
      </c>
      <c r="I71" s="80">
        <v>0</v>
      </c>
      <c r="J71" s="81" t="s">
        <v>104</v>
      </c>
    </row>
    <row r="72" spans="1:10" ht="30" customHeight="1" thickBot="1" x14ac:dyDescent="0.3">
      <c r="A72" s="193"/>
      <c r="B72" s="8" t="s">
        <v>39</v>
      </c>
      <c r="C72" s="9">
        <v>1</v>
      </c>
      <c r="D72" s="10">
        <v>2.5</v>
      </c>
      <c r="E72" s="3"/>
      <c r="H72" s="82">
        <f t="shared" si="5"/>
        <v>0.1</v>
      </c>
      <c r="I72" s="83">
        <v>4</v>
      </c>
      <c r="J72" s="84" t="s">
        <v>38</v>
      </c>
    </row>
    <row r="73" spans="1:10" ht="30" customHeight="1" thickBot="1" x14ac:dyDescent="0.3">
      <c r="A73" s="193"/>
      <c r="B73" s="8" t="s">
        <v>40</v>
      </c>
      <c r="C73" s="9">
        <v>2</v>
      </c>
      <c r="D73" s="10">
        <v>5</v>
      </c>
      <c r="E73" s="3"/>
      <c r="H73" s="85">
        <f t="shared" si="5"/>
        <v>2.5000000000000001E-2</v>
      </c>
      <c r="I73" s="86">
        <v>1</v>
      </c>
      <c r="J73" s="87" t="s">
        <v>39</v>
      </c>
    </row>
    <row r="74" spans="1:10" ht="30" customHeight="1" thickBot="1" x14ac:dyDescent="0.3">
      <c r="A74" s="193"/>
      <c r="B74" s="8" t="s">
        <v>41</v>
      </c>
      <c r="C74" s="9">
        <v>25</v>
      </c>
      <c r="D74" s="10">
        <v>62.5</v>
      </c>
      <c r="E74" s="3"/>
      <c r="H74" s="76">
        <f t="shared" si="5"/>
        <v>0.05</v>
      </c>
      <c r="I74" s="77">
        <v>2</v>
      </c>
      <c r="J74" s="78" t="s">
        <v>40</v>
      </c>
    </row>
    <row r="75" spans="1:10" ht="30" customHeight="1" thickBot="1" x14ac:dyDescent="0.3">
      <c r="A75" s="194"/>
      <c r="B75" s="11" t="s">
        <v>4</v>
      </c>
      <c r="C75" s="12">
        <v>40</v>
      </c>
      <c r="D75" s="13">
        <v>100</v>
      </c>
      <c r="E75" s="3"/>
      <c r="H75" s="88">
        <f t="shared" si="5"/>
        <v>0.625</v>
      </c>
      <c r="I75" s="74">
        <v>25</v>
      </c>
      <c r="J75" s="75" t="s">
        <v>41</v>
      </c>
    </row>
    <row r="76" spans="1:10" ht="30" customHeight="1" thickTop="1" thickBot="1" x14ac:dyDescent="0.3">
      <c r="A76" s="3"/>
      <c r="B76" s="3"/>
      <c r="C76" s="3"/>
      <c r="D76" s="3"/>
      <c r="E76" s="3"/>
      <c r="H76" s="69">
        <f t="shared" si="5"/>
        <v>1</v>
      </c>
      <c r="I76" s="70">
        <f>SUM(I70:I75)</f>
        <v>40</v>
      </c>
      <c r="J76" s="66" t="s">
        <v>98</v>
      </c>
    </row>
    <row r="77" spans="1:10" ht="30" customHeight="1" thickBot="1" x14ac:dyDescent="0.3">
      <c r="A77" s="189" t="s">
        <v>42</v>
      </c>
      <c r="B77" s="189"/>
      <c r="C77" s="189"/>
      <c r="D77" s="189"/>
      <c r="E77" s="3"/>
    </row>
    <row r="78" spans="1:10" ht="30" customHeight="1" thickTop="1" thickBot="1" x14ac:dyDescent="0.3">
      <c r="A78" s="190" t="s">
        <v>0</v>
      </c>
      <c r="B78" s="191"/>
      <c r="C78" s="1" t="s">
        <v>93</v>
      </c>
      <c r="D78" s="2" t="s">
        <v>94</v>
      </c>
      <c r="E78" s="3"/>
      <c r="J78" s="4" t="s">
        <v>46</v>
      </c>
    </row>
    <row r="79" spans="1:10" ht="30" customHeight="1" thickTop="1" thickBot="1" x14ac:dyDescent="0.3">
      <c r="A79" s="192"/>
      <c r="B79" s="5" t="s">
        <v>43</v>
      </c>
      <c r="C79" s="6">
        <v>7</v>
      </c>
      <c r="D79" s="62">
        <f>C79/$C$83</f>
        <v>0.17499999999999999</v>
      </c>
      <c r="E79" s="3"/>
      <c r="H79" s="90" t="s">
        <v>94</v>
      </c>
      <c r="I79" s="96"/>
      <c r="J79" s="91" t="s">
        <v>105</v>
      </c>
    </row>
    <row r="80" spans="1:10" ht="30" customHeight="1" thickTop="1" thickBot="1" x14ac:dyDescent="0.3">
      <c r="A80" s="193"/>
      <c r="B80" s="8" t="s">
        <v>44</v>
      </c>
      <c r="C80" s="9">
        <v>27</v>
      </c>
      <c r="D80" s="62">
        <f t="shared" ref="D80:D83" si="6">C80/$C$83</f>
        <v>0.67500000000000004</v>
      </c>
      <c r="E80" s="3"/>
      <c r="H80" s="92"/>
      <c r="I80" s="89">
        <v>0.17499999999999999</v>
      </c>
      <c r="J80" s="98" t="s">
        <v>43</v>
      </c>
    </row>
    <row r="81" spans="1:10" ht="30" customHeight="1" thickTop="1" thickBot="1" x14ac:dyDescent="0.3">
      <c r="A81" s="193"/>
      <c r="B81" s="8" t="s">
        <v>45</v>
      </c>
      <c r="C81" s="9">
        <v>3</v>
      </c>
      <c r="D81" s="62">
        <f t="shared" si="6"/>
        <v>7.4999999999999997E-2</v>
      </c>
      <c r="E81" s="3"/>
      <c r="H81" s="92"/>
      <c r="I81" s="89">
        <v>0.67500000000000004</v>
      </c>
      <c r="J81" s="93" t="s">
        <v>44</v>
      </c>
    </row>
    <row r="82" spans="1:10" ht="30" customHeight="1" thickTop="1" thickBot="1" x14ac:dyDescent="0.3">
      <c r="A82" s="193"/>
      <c r="B82" s="8" t="s">
        <v>46</v>
      </c>
      <c r="C82" s="9">
        <v>3</v>
      </c>
      <c r="D82" s="62">
        <f t="shared" si="6"/>
        <v>7.4999999999999997E-2</v>
      </c>
      <c r="E82" s="3"/>
      <c r="H82" s="92"/>
      <c r="I82" s="89">
        <v>7.4999999999999997E-2</v>
      </c>
      <c r="J82" s="93" t="s">
        <v>45</v>
      </c>
    </row>
    <row r="83" spans="1:10" ht="30" customHeight="1" thickTop="1" thickBot="1" x14ac:dyDescent="0.3">
      <c r="A83" s="194"/>
      <c r="B83" s="11" t="s">
        <v>4</v>
      </c>
      <c r="C83" s="12">
        <v>40</v>
      </c>
      <c r="D83" s="61">
        <f t="shared" si="6"/>
        <v>1</v>
      </c>
      <c r="E83" s="3"/>
      <c r="H83" s="92"/>
      <c r="I83" s="89">
        <v>7.4999999999999997E-2</v>
      </c>
      <c r="J83" s="93" t="s">
        <v>46</v>
      </c>
    </row>
    <row r="84" spans="1:10" ht="30" customHeight="1" thickTop="1" thickBot="1" x14ac:dyDescent="0.3">
      <c r="A84" s="3"/>
      <c r="B84" s="3"/>
      <c r="C84" s="3"/>
      <c r="D84" s="3"/>
      <c r="E84" s="3"/>
      <c r="H84" s="94"/>
      <c r="I84" s="97">
        <v>1</v>
      </c>
      <c r="J84" s="95" t="s">
        <v>98</v>
      </c>
    </row>
    <row r="85" spans="1:10" ht="30" customHeight="1" thickBot="1" x14ac:dyDescent="0.3">
      <c r="A85" s="189" t="s">
        <v>47</v>
      </c>
      <c r="B85" s="189"/>
      <c r="C85" s="189"/>
      <c r="D85" s="189"/>
      <c r="E85" s="3"/>
    </row>
    <row r="86" spans="1:10" ht="30" customHeight="1" thickTop="1" thickBot="1" x14ac:dyDescent="0.3">
      <c r="A86" s="190" t="s">
        <v>0</v>
      </c>
      <c r="B86" s="191"/>
      <c r="C86" s="1" t="s">
        <v>93</v>
      </c>
      <c r="D86" s="2" t="s">
        <v>94</v>
      </c>
      <c r="E86" s="3"/>
    </row>
    <row r="87" spans="1:10" ht="30" customHeight="1" thickTop="1" thickBot="1" x14ac:dyDescent="0.3">
      <c r="A87" s="192"/>
      <c r="B87" s="5" t="s">
        <v>33</v>
      </c>
      <c r="C87" s="6">
        <v>26</v>
      </c>
      <c r="D87" s="61">
        <f>C87/$C$89</f>
        <v>0.65</v>
      </c>
      <c r="E87" s="3"/>
    </row>
    <row r="88" spans="1:10" ht="30" customHeight="1" thickTop="1" thickBot="1" x14ac:dyDescent="0.3">
      <c r="A88" s="193"/>
      <c r="B88" s="8" t="s">
        <v>34</v>
      </c>
      <c r="C88" s="9">
        <v>14</v>
      </c>
      <c r="D88" s="61">
        <f t="shared" ref="D88:D89" si="7">C88/$C$89</f>
        <v>0.35</v>
      </c>
      <c r="E88" s="3"/>
    </row>
    <row r="89" spans="1:10" ht="30" customHeight="1" thickTop="1" thickBot="1" x14ac:dyDescent="0.3">
      <c r="A89" s="194"/>
      <c r="B89" s="11" t="s">
        <v>4</v>
      </c>
      <c r="C89" s="12">
        <v>40</v>
      </c>
      <c r="D89" s="61">
        <f t="shared" si="7"/>
        <v>1</v>
      </c>
      <c r="E89" s="3"/>
    </row>
    <row r="90" spans="1:10" ht="30" customHeight="1" thickTop="1" x14ac:dyDescent="0.25">
      <c r="A90" s="3"/>
      <c r="B90" s="3"/>
      <c r="C90" s="3"/>
      <c r="D90" s="3"/>
      <c r="E90" s="3"/>
    </row>
    <row r="91" spans="1:10" ht="30" customHeight="1" thickBot="1" x14ac:dyDescent="0.3">
      <c r="A91" s="189" t="s">
        <v>48</v>
      </c>
      <c r="B91" s="189"/>
      <c r="C91" s="189"/>
      <c r="D91" s="189"/>
      <c r="E91" s="3"/>
    </row>
    <row r="92" spans="1:10" ht="30" customHeight="1" thickTop="1" thickBot="1" x14ac:dyDescent="0.3">
      <c r="A92" s="190" t="s">
        <v>0</v>
      </c>
      <c r="B92" s="191"/>
      <c r="C92" s="1" t="s">
        <v>93</v>
      </c>
      <c r="D92" s="2" t="s">
        <v>94</v>
      </c>
      <c r="E92" s="3"/>
    </row>
    <row r="93" spans="1:10" ht="30" customHeight="1" thickTop="1" thickBot="1" x14ac:dyDescent="0.3">
      <c r="A93" s="192"/>
      <c r="B93" s="5" t="s">
        <v>33</v>
      </c>
      <c r="C93" s="6">
        <v>34</v>
      </c>
      <c r="D93" s="61">
        <f>C93/$C$95</f>
        <v>0.85</v>
      </c>
      <c r="E93" s="3"/>
    </row>
    <row r="94" spans="1:10" ht="30" customHeight="1" thickTop="1" thickBot="1" x14ac:dyDescent="0.3">
      <c r="A94" s="193"/>
      <c r="B94" s="8" t="s">
        <v>34</v>
      </c>
      <c r="C94" s="9">
        <v>6</v>
      </c>
      <c r="D94" s="61">
        <f t="shared" ref="D94:D95" si="8">C94/$C$95</f>
        <v>0.15</v>
      </c>
      <c r="E94" s="3"/>
    </row>
    <row r="95" spans="1:10" ht="30" customHeight="1" thickTop="1" thickBot="1" x14ac:dyDescent="0.3">
      <c r="A95" s="194"/>
      <c r="B95" s="11" t="s">
        <v>4</v>
      </c>
      <c r="C95" s="12">
        <v>40</v>
      </c>
      <c r="D95" s="61">
        <f t="shared" si="8"/>
        <v>1</v>
      </c>
      <c r="E95" s="3"/>
    </row>
    <row r="96" spans="1:10" ht="30" customHeight="1" thickTop="1" x14ac:dyDescent="0.25">
      <c r="A96" s="3"/>
      <c r="B96" s="3"/>
      <c r="C96" s="3"/>
      <c r="D96" s="3"/>
      <c r="E96" s="3"/>
    </row>
    <row r="97" spans="1:5" ht="30" customHeight="1" thickBot="1" x14ac:dyDescent="0.3">
      <c r="A97" s="189" t="s">
        <v>49</v>
      </c>
      <c r="B97" s="189"/>
      <c r="C97" s="189"/>
      <c r="D97" s="189"/>
      <c r="E97" s="3"/>
    </row>
    <row r="98" spans="1:5" ht="30" customHeight="1" thickTop="1" thickBot="1" x14ac:dyDescent="0.3">
      <c r="A98" s="190" t="s">
        <v>0</v>
      </c>
      <c r="B98" s="191"/>
      <c r="C98" s="1" t="s">
        <v>93</v>
      </c>
      <c r="D98" s="2" t="s">
        <v>94</v>
      </c>
      <c r="E98" s="3"/>
    </row>
    <row r="99" spans="1:5" ht="30" customHeight="1" thickTop="1" thickBot="1" x14ac:dyDescent="0.3">
      <c r="A99" s="192"/>
      <c r="B99" s="5" t="s">
        <v>33</v>
      </c>
      <c r="C99" s="6">
        <v>18</v>
      </c>
      <c r="D99" s="61">
        <f>C99/$C$101</f>
        <v>0.45</v>
      </c>
      <c r="E99" s="3"/>
    </row>
    <row r="100" spans="1:5" ht="30" customHeight="1" thickTop="1" thickBot="1" x14ac:dyDescent="0.3">
      <c r="A100" s="193"/>
      <c r="B100" s="8" t="s">
        <v>34</v>
      </c>
      <c r="C100" s="9">
        <v>22</v>
      </c>
      <c r="D100" s="61">
        <f t="shared" ref="D100:D101" si="9">C100/$C$101</f>
        <v>0.55000000000000004</v>
      </c>
      <c r="E100" s="3"/>
    </row>
    <row r="101" spans="1:5" ht="30" customHeight="1" thickTop="1" thickBot="1" x14ac:dyDescent="0.3">
      <c r="A101" s="194"/>
      <c r="B101" s="11" t="s">
        <v>4</v>
      </c>
      <c r="C101" s="12">
        <v>40</v>
      </c>
      <c r="D101" s="61">
        <f t="shared" si="9"/>
        <v>1</v>
      </c>
      <c r="E101" s="3"/>
    </row>
    <row r="102" spans="1:5" ht="30" customHeight="1" thickTop="1" x14ac:dyDescent="0.25">
      <c r="A102" s="3"/>
      <c r="B102" s="3"/>
      <c r="C102" s="3"/>
      <c r="D102" s="3"/>
      <c r="E102" s="3"/>
    </row>
    <row r="103" spans="1:5" ht="30" customHeight="1" thickBot="1" x14ac:dyDescent="0.3">
      <c r="A103" s="189" t="s">
        <v>50</v>
      </c>
      <c r="B103" s="189"/>
      <c r="C103" s="189"/>
      <c r="D103" s="189"/>
      <c r="E103" s="3"/>
    </row>
    <row r="104" spans="1:5" ht="30" customHeight="1" thickTop="1" thickBot="1" x14ac:dyDescent="0.3">
      <c r="A104" s="190" t="s">
        <v>0</v>
      </c>
      <c r="B104" s="191"/>
      <c r="C104" s="1" t="s">
        <v>93</v>
      </c>
      <c r="D104" s="2" t="s">
        <v>94</v>
      </c>
      <c r="E104" s="3"/>
    </row>
    <row r="105" spans="1:5" ht="30" customHeight="1" thickTop="1" thickBot="1" x14ac:dyDescent="0.3">
      <c r="A105" s="192"/>
      <c r="B105" s="5" t="s">
        <v>33</v>
      </c>
      <c r="C105" s="6">
        <v>24</v>
      </c>
      <c r="D105" s="61">
        <f>C105/$C$107</f>
        <v>0.6</v>
      </c>
      <c r="E105" s="3"/>
    </row>
    <row r="106" spans="1:5" ht="30" customHeight="1" thickTop="1" thickBot="1" x14ac:dyDescent="0.3">
      <c r="A106" s="193"/>
      <c r="B106" s="8" t="s">
        <v>34</v>
      </c>
      <c r="C106" s="9">
        <v>16</v>
      </c>
      <c r="D106" s="61">
        <f t="shared" ref="D106:D107" si="10">C106/$C$107</f>
        <v>0.4</v>
      </c>
      <c r="E106" s="3"/>
    </row>
    <row r="107" spans="1:5" ht="30" customHeight="1" thickTop="1" thickBot="1" x14ac:dyDescent="0.3">
      <c r="A107" s="194"/>
      <c r="B107" s="11" t="s">
        <v>4</v>
      </c>
      <c r="C107" s="12">
        <v>40</v>
      </c>
      <c r="D107" s="61">
        <f t="shared" si="10"/>
        <v>1</v>
      </c>
      <c r="E107" s="3"/>
    </row>
    <row r="108" spans="1:5" ht="30" customHeight="1" thickTop="1" x14ac:dyDescent="0.25">
      <c r="A108" s="3"/>
      <c r="B108" s="3"/>
      <c r="C108" s="3"/>
      <c r="D108" s="3"/>
      <c r="E108" s="3"/>
    </row>
    <row r="109" spans="1:5" ht="30" customHeight="1" thickBot="1" x14ac:dyDescent="0.3">
      <c r="A109" s="189" t="s">
        <v>51</v>
      </c>
      <c r="B109" s="189"/>
      <c r="C109" s="189"/>
      <c r="D109" s="189"/>
      <c r="E109" s="3"/>
    </row>
    <row r="110" spans="1:5" ht="30" customHeight="1" thickTop="1" thickBot="1" x14ac:dyDescent="0.3">
      <c r="A110" s="190" t="s">
        <v>0</v>
      </c>
      <c r="B110" s="191"/>
      <c r="C110" s="1" t="s">
        <v>93</v>
      </c>
      <c r="D110" s="2" t="s">
        <v>94</v>
      </c>
      <c r="E110" s="3"/>
    </row>
    <row r="111" spans="1:5" ht="30" customHeight="1" thickTop="1" thickBot="1" x14ac:dyDescent="0.3">
      <c r="A111" s="192"/>
      <c r="B111" s="5" t="s">
        <v>33</v>
      </c>
      <c r="C111" s="6">
        <v>33</v>
      </c>
      <c r="D111" s="62">
        <f>C111/$C$113</f>
        <v>0.82499999999999996</v>
      </c>
      <c r="E111" s="3"/>
    </row>
    <row r="112" spans="1:5" ht="30" customHeight="1" thickTop="1" thickBot="1" x14ac:dyDescent="0.3">
      <c r="A112" s="193"/>
      <c r="B112" s="8" t="s">
        <v>34</v>
      </c>
      <c r="C112" s="9">
        <v>7</v>
      </c>
      <c r="D112" s="62">
        <f t="shared" ref="D112:D113" si="11">C112/$C$113</f>
        <v>0.17499999999999999</v>
      </c>
      <c r="E112" s="3"/>
    </row>
    <row r="113" spans="1:5" ht="30" customHeight="1" thickTop="1" thickBot="1" x14ac:dyDescent="0.3">
      <c r="A113" s="194"/>
      <c r="B113" s="11" t="s">
        <v>4</v>
      </c>
      <c r="C113" s="12">
        <v>40</v>
      </c>
      <c r="D113" s="61">
        <f t="shared" si="11"/>
        <v>1</v>
      </c>
      <c r="E113" s="3"/>
    </row>
    <row r="114" spans="1:5" ht="30" customHeight="1" thickTop="1" x14ac:dyDescent="0.25">
      <c r="A114" s="3"/>
      <c r="B114" s="3"/>
      <c r="C114" s="3"/>
      <c r="D114" s="3"/>
      <c r="E114" s="3"/>
    </row>
    <row r="115" spans="1:5" ht="30" customHeight="1" thickBot="1" x14ac:dyDescent="0.3">
      <c r="A115" s="189" t="s">
        <v>52</v>
      </c>
      <c r="B115" s="189"/>
      <c r="C115" s="189"/>
      <c r="D115" s="189"/>
      <c r="E115" s="3"/>
    </row>
    <row r="116" spans="1:5" ht="30" customHeight="1" thickTop="1" thickBot="1" x14ac:dyDescent="0.3">
      <c r="A116" s="190" t="s">
        <v>0</v>
      </c>
      <c r="B116" s="191"/>
      <c r="C116" s="1" t="s">
        <v>93</v>
      </c>
      <c r="D116" s="2" t="s">
        <v>94</v>
      </c>
      <c r="E116" s="3"/>
    </row>
    <row r="117" spans="1:5" ht="30" customHeight="1" thickTop="1" x14ac:dyDescent="0.25">
      <c r="A117" s="192"/>
      <c r="B117" s="5" t="s">
        <v>33</v>
      </c>
      <c r="C117" s="6">
        <v>39</v>
      </c>
      <c r="D117" s="7">
        <v>97.5</v>
      </c>
      <c r="E117" s="3"/>
    </row>
    <row r="118" spans="1:5" ht="30" customHeight="1" x14ac:dyDescent="0.25">
      <c r="A118" s="193"/>
      <c r="B118" s="8" t="s">
        <v>34</v>
      </c>
      <c r="C118" s="9">
        <v>1</v>
      </c>
      <c r="D118" s="10">
        <v>2.5</v>
      </c>
      <c r="E118" s="3"/>
    </row>
    <row r="119" spans="1:5" ht="30" customHeight="1" thickBot="1" x14ac:dyDescent="0.3">
      <c r="A119" s="194"/>
      <c r="B119" s="11" t="s">
        <v>4</v>
      </c>
      <c r="C119" s="12">
        <v>40</v>
      </c>
      <c r="D119" s="13">
        <v>100</v>
      </c>
      <c r="E119" s="3"/>
    </row>
    <row r="120" spans="1:5" ht="30" customHeight="1" thickTop="1" x14ac:dyDescent="0.25">
      <c r="A120" s="3"/>
      <c r="B120" s="3"/>
      <c r="C120" s="3"/>
      <c r="D120" s="3"/>
      <c r="E120" s="3"/>
    </row>
    <row r="121" spans="1:5" ht="30" customHeight="1" thickBot="1" x14ac:dyDescent="0.3">
      <c r="A121" s="189" t="s">
        <v>53</v>
      </c>
      <c r="B121" s="189"/>
      <c r="C121" s="189"/>
      <c r="D121" s="189"/>
      <c r="E121" s="3"/>
    </row>
    <row r="122" spans="1:5" ht="30" customHeight="1" thickTop="1" thickBot="1" x14ac:dyDescent="0.3">
      <c r="A122" s="190" t="s">
        <v>0</v>
      </c>
      <c r="B122" s="191"/>
      <c r="C122" s="1" t="s">
        <v>93</v>
      </c>
      <c r="D122" s="2" t="s">
        <v>94</v>
      </c>
      <c r="E122" s="3"/>
    </row>
    <row r="123" spans="1:5" ht="30" customHeight="1" thickTop="1" thickBot="1" x14ac:dyDescent="0.3">
      <c r="A123" s="192"/>
      <c r="B123" s="5" t="s">
        <v>33</v>
      </c>
      <c r="C123" s="6">
        <v>37</v>
      </c>
      <c r="D123" s="62">
        <f>C123/$C$125</f>
        <v>0.92500000000000004</v>
      </c>
      <c r="E123" s="3"/>
    </row>
    <row r="124" spans="1:5" ht="30" customHeight="1" thickTop="1" thickBot="1" x14ac:dyDescent="0.3">
      <c r="A124" s="193"/>
      <c r="B124" s="8" t="s">
        <v>34</v>
      </c>
      <c r="C124" s="9">
        <v>3</v>
      </c>
      <c r="D124" s="62">
        <f t="shared" ref="D124:D125" si="12">C124/$C$125</f>
        <v>7.4999999999999997E-2</v>
      </c>
      <c r="E124" s="3"/>
    </row>
    <row r="125" spans="1:5" ht="30" customHeight="1" thickTop="1" thickBot="1" x14ac:dyDescent="0.3">
      <c r="A125" s="194"/>
      <c r="B125" s="11" t="s">
        <v>4</v>
      </c>
      <c r="C125" s="12">
        <v>40</v>
      </c>
      <c r="D125" s="61">
        <f t="shared" si="12"/>
        <v>1</v>
      </c>
      <c r="E125" s="3"/>
    </row>
    <row r="126" spans="1:5" ht="30" customHeight="1" thickTop="1" x14ac:dyDescent="0.25">
      <c r="A126" s="3"/>
      <c r="B126" s="3"/>
      <c r="C126" s="3"/>
      <c r="D126" s="3"/>
      <c r="E126" s="3"/>
    </row>
    <row r="127" spans="1:5" ht="30" customHeight="1" thickBot="1" x14ac:dyDescent="0.3">
      <c r="A127" s="189" t="s">
        <v>54</v>
      </c>
      <c r="B127" s="189"/>
      <c r="C127" s="189"/>
      <c r="D127" s="189"/>
      <c r="E127" s="3"/>
    </row>
    <row r="128" spans="1:5" ht="30" customHeight="1" thickTop="1" thickBot="1" x14ac:dyDescent="0.3">
      <c r="A128" s="190" t="s">
        <v>0</v>
      </c>
      <c r="B128" s="191"/>
      <c r="C128" s="1" t="s">
        <v>93</v>
      </c>
      <c r="D128" s="2" t="s">
        <v>94</v>
      </c>
      <c r="E128" s="3"/>
    </row>
    <row r="129" spans="1:10" ht="30" customHeight="1" thickTop="1" thickBot="1" x14ac:dyDescent="0.3">
      <c r="A129" s="192"/>
      <c r="B129" s="5" t="s">
        <v>33</v>
      </c>
      <c r="C129" s="6">
        <v>19</v>
      </c>
      <c r="D129" s="62">
        <f>C129/$C$131</f>
        <v>0.47499999999999998</v>
      </c>
      <c r="E129" s="3"/>
    </row>
    <row r="130" spans="1:10" ht="30" customHeight="1" thickTop="1" thickBot="1" x14ac:dyDescent="0.3">
      <c r="A130" s="193"/>
      <c r="B130" s="8" t="s">
        <v>34</v>
      </c>
      <c r="C130" s="9">
        <v>21</v>
      </c>
      <c r="D130" s="62">
        <f t="shared" ref="D130:D131" si="13">C130/$C$131</f>
        <v>0.52500000000000002</v>
      </c>
      <c r="E130" s="3"/>
    </row>
    <row r="131" spans="1:10" ht="30" customHeight="1" thickTop="1" thickBot="1" x14ac:dyDescent="0.3">
      <c r="A131" s="194"/>
      <c r="B131" s="11" t="s">
        <v>4</v>
      </c>
      <c r="C131" s="12">
        <v>40</v>
      </c>
      <c r="D131" s="61">
        <f t="shared" si="13"/>
        <v>1</v>
      </c>
      <c r="E131" s="3"/>
    </row>
    <row r="132" spans="1:10" ht="30" customHeight="1" thickTop="1" x14ac:dyDescent="0.25">
      <c r="A132" s="3"/>
      <c r="B132" s="3"/>
      <c r="C132" s="3"/>
      <c r="D132" s="3"/>
      <c r="E132" s="3"/>
    </row>
    <row r="133" spans="1:10" ht="30" customHeight="1" thickBot="1" x14ac:dyDescent="0.3">
      <c r="A133" s="189" t="s">
        <v>55</v>
      </c>
      <c r="B133" s="189"/>
      <c r="C133" s="189"/>
      <c r="D133" s="189"/>
      <c r="E133" s="3"/>
    </row>
    <row r="134" spans="1:10" ht="30" customHeight="1" thickTop="1" thickBot="1" x14ac:dyDescent="0.3">
      <c r="A134" s="190" t="s">
        <v>0</v>
      </c>
      <c r="B134" s="191"/>
      <c r="C134" s="1" t="s">
        <v>93</v>
      </c>
      <c r="D134" s="2" t="s">
        <v>94</v>
      </c>
      <c r="E134" s="3"/>
      <c r="H134" s="99" t="s">
        <v>94</v>
      </c>
      <c r="I134" s="100" t="s">
        <v>93</v>
      </c>
      <c r="J134" s="102" t="s">
        <v>58</v>
      </c>
    </row>
    <row r="135" spans="1:10" ht="30" customHeight="1" thickTop="1" thickBot="1" x14ac:dyDescent="0.3">
      <c r="A135" s="192"/>
      <c r="B135" s="5" t="s">
        <v>33</v>
      </c>
      <c r="C135" s="6">
        <v>37</v>
      </c>
      <c r="D135" s="7">
        <v>92.5</v>
      </c>
      <c r="E135" s="3"/>
      <c r="H135" s="107">
        <f>I135/$I$76</f>
        <v>7.4999999999999997E-2</v>
      </c>
      <c r="I135" s="108">
        <v>3</v>
      </c>
      <c r="J135" s="109" t="s">
        <v>59</v>
      </c>
    </row>
    <row r="136" spans="1:10" ht="30" customHeight="1" thickBot="1" x14ac:dyDescent="0.3">
      <c r="A136" s="193"/>
      <c r="B136" s="8" t="s">
        <v>34</v>
      </c>
      <c r="C136" s="9">
        <v>3</v>
      </c>
      <c r="D136" s="10">
        <v>7.5</v>
      </c>
      <c r="E136" s="3"/>
      <c r="H136" s="106">
        <f t="shared" ref="H136:H137" si="14">I136/$I$76</f>
        <v>0.75</v>
      </c>
      <c r="I136" s="104">
        <v>30</v>
      </c>
      <c r="J136" s="105" t="s">
        <v>60</v>
      </c>
    </row>
    <row r="137" spans="1:10" ht="30" customHeight="1" thickBot="1" x14ac:dyDescent="0.3">
      <c r="A137" s="194"/>
      <c r="B137" s="11" t="s">
        <v>4</v>
      </c>
      <c r="C137" s="12">
        <v>40</v>
      </c>
      <c r="D137" s="13">
        <v>100</v>
      </c>
      <c r="E137" s="3"/>
      <c r="H137" s="110">
        <f t="shared" si="14"/>
        <v>0.17499999999999999</v>
      </c>
      <c r="I137" s="101">
        <v>7</v>
      </c>
      <c r="J137" s="103" t="s">
        <v>61</v>
      </c>
    </row>
    <row r="138" spans="1:10" ht="30" customHeight="1" thickTop="1" thickBot="1" x14ac:dyDescent="0.3">
      <c r="A138" s="3"/>
      <c r="B138" s="3"/>
      <c r="C138" s="3"/>
      <c r="D138" s="3"/>
      <c r="E138" s="3"/>
      <c r="H138" s="111">
        <f>I138/$I$76</f>
        <v>1</v>
      </c>
      <c r="I138" s="112">
        <v>40</v>
      </c>
      <c r="J138" s="113" t="s">
        <v>98</v>
      </c>
    </row>
    <row r="139" spans="1:10" ht="30" customHeight="1" thickBot="1" x14ac:dyDescent="0.3">
      <c r="A139" s="189" t="s">
        <v>56</v>
      </c>
      <c r="B139" s="189"/>
      <c r="C139" s="189"/>
      <c r="D139" s="189"/>
      <c r="E139" s="3"/>
      <c r="H139"/>
      <c r="I139"/>
      <c r="J139"/>
    </row>
    <row r="140" spans="1:10" ht="30" customHeight="1" thickTop="1" thickBot="1" x14ac:dyDescent="0.3">
      <c r="A140" s="190" t="s">
        <v>0</v>
      </c>
      <c r="B140" s="191"/>
      <c r="C140" s="1" t="s">
        <v>93</v>
      </c>
      <c r="D140" s="2" t="s">
        <v>94</v>
      </c>
      <c r="E140" s="3"/>
      <c r="H140"/>
      <c r="I140"/>
      <c r="J140"/>
    </row>
    <row r="141" spans="1:10" ht="30" customHeight="1" thickTop="1" x14ac:dyDescent="0.25">
      <c r="A141" s="192"/>
      <c r="B141" s="5" t="s">
        <v>33</v>
      </c>
      <c r="C141" s="6">
        <v>39</v>
      </c>
      <c r="D141" s="7">
        <v>97.5</v>
      </c>
      <c r="E141" s="3"/>
    </row>
    <row r="142" spans="1:10" ht="30" customHeight="1" x14ac:dyDescent="0.25">
      <c r="A142" s="193"/>
      <c r="B142" s="8" t="s">
        <v>34</v>
      </c>
      <c r="C142" s="9">
        <v>1</v>
      </c>
      <c r="D142" s="10">
        <v>2.5</v>
      </c>
      <c r="E142" s="3"/>
    </row>
    <row r="143" spans="1:10" ht="30" customHeight="1" thickBot="1" x14ac:dyDescent="0.3">
      <c r="A143" s="194"/>
      <c r="B143" s="11" t="s">
        <v>4</v>
      </c>
      <c r="C143" s="12">
        <v>40</v>
      </c>
      <c r="D143" s="13">
        <v>100</v>
      </c>
      <c r="E143" s="3"/>
    </row>
    <row r="144" spans="1:10" ht="30" customHeight="1" thickTop="1" x14ac:dyDescent="0.25">
      <c r="A144" s="3"/>
      <c r="B144" s="3"/>
      <c r="C144" s="3"/>
      <c r="D144" s="3"/>
      <c r="E144" s="3"/>
    </row>
    <row r="145" spans="1:10" ht="30" customHeight="1" thickBot="1" x14ac:dyDescent="0.3">
      <c r="A145" s="189" t="s">
        <v>57</v>
      </c>
      <c r="B145" s="189"/>
      <c r="C145" s="189"/>
      <c r="D145" s="189"/>
      <c r="E145" s="3"/>
    </row>
    <row r="146" spans="1:10" ht="30" customHeight="1" thickTop="1" thickBot="1" x14ac:dyDescent="0.3">
      <c r="A146" s="190" t="s">
        <v>0</v>
      </c>
      <c r="B146" s="191"/>
      <c r="C146" s="1" t="s">
        <v>93</v>
      </c>
      <c r="D146" s="2" t="s">
        <v>94</v>
      </c>
      <c r="E146" s="3"/>
    </row>
    <row r="147" spans="1:10" ht="30" customHeight="1" thickTop="1" thickBot="1" x14ac:dyDescent="0.3">
      <c r="A147" s="192"/>
      <c r="B147" s="5" t="s">
        <v>33</v>
      </c>
      <c r="C147" s="6">
        <v>14</v>
      </c>
      <c r="D147" s="61">
        <f>C147/$C$149</f>
        <v>0.35</v>
      </c>
      <c r="E147" s="3"/>
    </row>
    <row r="148" spans="1:10" ht="30" customHeight="1" thickTop="1" thickBot="1" x14ac:dyDescent="0.3">
      <c r="A148" s="193"/>
      <c r="B148" s="8" t="s">
        <v>34</v>
      </c>
      <c r="C148" s="9">
        <v>26</v>
      </c>
      <c r="D148" s="61">
        <f t="shared" ref="D148:D149" si="15">C148/$C$149</f>
        <v>0.65</v>
      </c>
      <c r="E148" s="3"/>
    </row>
    <row r="149" spans="1:10" ht="30" customHeight="1" thickTop="1" thickBot="1" x14ac:dyDescent="0.3">
      <c r="A149" s="194"/>
      <c r="B149" s="11" t="s">
        <v>4</v>
      </c>
      <c r="C149" s="12">
        <v>40</v>
      </c>
      <c r="D149" s="61">
        <f t="shared" si="15"/>
        <v>1</v>
      </c>
      <c r="E149" s="3"/>
    </row>
    <row r="150" spans="1:10" ht="30" customHeight="1" thickTop="1" x14ac:dyDescent="0.25">
      <c r="A150" s="3"/>
      <c r="B150" s="3"/>
      <c r="C150" s="3"/>
      <c r="D150" s="3"/>
      <c r="E150" s="3"/>
    </row>
    <row r="151" spans="1:10" ht="30" customHeight="1" thickBot="1" x14ac:dyDescent="0.3">
      <c r="A151" s="189" t="s">
        <v>58</v>
      </c>
      <c r="B151" s="189"/>
      <c r="C151" s="189"/>
      <c r="D151" s="189"/>
      <c r="E151" s="3"/>
      <c r="H151"/>
      <c r="I151"/>
      <c r="J151"/>
    </row>
    <row r="152" spans="1:10" ht="30" customHeight="1" thickTop="1" thickBot="1" x14ac:dyDescent="0.3">
      <c r="A152" s="190" t="s">
        <v>0</v>
      </c>
      <c r="B152" s="191"/>
      <c r="C152" s="1" t="s">
        <v>93</v>
      </c>
      <c r="D152" s="2" t="s">
        <v>94</v>
      </c>
      <c r="E152" s="3"/>
      <c r="H152"/>
      <c r="I152"/>
      <c r="J152"/>
    </row>
    <row r="153" spans="1:10" ht="30" customHeight="1" thickTop="1" x14ac:dyDescent="0.25">
      <c r="A153" s="192"/>
      <c r="B153" s="5" t="s">
        <v>59</v>
      </c>
      <c r="C153" s="6">
        <v>3</v>
      </c>
      <c r="D153" s="7">
        <v>7.5</v>
      </c>
      <c r="E153" s="3"/>
      <c r="H153"/>
      <c r="I153"/>
      <c r="J153"/>
    </row>
    <row r="154" spans="1:10" ht="30" customHeight="1" x14ac:dyDescent="0.25">
      <c r="A154" s="193"/>
      <c r="B154" s="8" t="s">
        <v>60</v>
      </c>
      <c r="C154" s="9">
        <v>30</v>
      </c>
      <c r="D154" s="10">
        <v>75</v>
      </c>
      <c r="E154" s="3"/>
      <c r="H154"/>
      <c r="I154"/>
      <c r="J154"/>
    </row>
    <row r="155" spans="1:10" ht="30" customHeight="1" x14ac:dyDescent="0.25">
      <c r="A155" s="193"/>
      <c r="B155" s="8" t="s">
        <v>61</v>
      </c>
      <c r="C155" s="9">
        <v>7</v>
      </c>
      <c r="D155" s="10">
        <v>17.5</v>
      </c>
      <c r="E155" s="3"/>
      <c r="H155"/>
      <c r="I155"/>
      <c r="J155"/>
    </row>
    <row r="156" spans="1:10" ht="30" customHeight="1" thickBot="1" x14ac:dyDescent="0.3">
      <c r="A156" s="194"/>
      <c r="B156" s="11" t="s">
        <v>4</v>
      </c>
      <c r="C156" s="12">
        <v>40</v>
      </c>
      <c r="D156" s="13">
        <v>100</v>
      </c>
      <c r="E156" s="3"/>
      <c r="H156"/>
      <c r="I156"/>
      <c r="J156"/>
    </row>
    <row r="157" spans="1:10" ht="30" customHeight="1" thickTop="1" x14ac:dyDescent="0.25">
      <c r="A157" s="3"/>
      <c r="B157" s="3"/>
      <c r="C157" s="3"/>
      <c r="D157" s="3"/>
      <c r="E157" s="3"/>
      <c r="H157"/>
      <c r="I157"/>
      <c r="J157"/>
    </row>
    <row r="158" spans="1:10" ht="30" customHeight="1" thickBot="1" x14ac:dyDescent="0.3">
      <c r="A158" s="189" t="s">
        <v>62</v>
      </c>
      <c r="B158" s="189"/>
      <c r="C158" s="189"/>
      <c r="D158" s="189"/>
      <c r="E158" s="3"/>
      <c r="H158"/>
      <c r="I158"/>
      <c r="J158"/>
    </row>
    <row r="159" spans="1:10" ht="30" customHeight="1" thickTop="1" thickBot="1" x14ac:dyDescent="0.3">
      <c r="A159" s="190" t="s">
        <v>0</v>
      </c>
      <c r="B159" s="191"/>
      <c r="C159" s="1" t="s">
        <v>93</v>
      </c>
      <c r="D159" s="2" t="s">
        <v>94</v>
      </c>
      <c r="E159" s="3"/>
      <c r="H159"/>
      <c r="I159"/>
      <c r="J159"/>
    </row>
    <row r="160" spans="1:10" ht="30" customHeight="1" thickTop="1" thickBot="1" x14ac:dyDescent="0.3">
      <c r="A160" s="192"/>
      <c r="B160" s="5" t="s">
        <v>59</v>
      </c>
      <c r="C160" s="6">
        <v>10</v>
      </c>
      <c r="D160" s="61">
        <f>C160/$C$163</f>
        <v>0.25</v>
      </c>
      <c r="E160" s="3"/>
      <c r="H160"/>
      <c r="I160"/>
      <c r="J160"/>
    </row>
    <row r="161" spans="1:10" ht="30" customHeight="1" thickTop="1" thickBot="1" x14ac:dyDescent="0.3">
      <c r="A161" s="193"/>
      <c r="B161" s="8" t="s">
        <v>60</v>
      </c>
      <c r="C161" s="9">
        <v>29</v>
      </c>
      <c r="D161" s="62">
        <f t="shared" ref="D161:D163" si="16">C161/$C$163</f>
        <v>0.72499999999999998</v>
      </c>
      <c r="E161" s="3"/>
      <c r="H161"/>
      <c r="I161"/>
      <c r="J161"/>
    </row>
    <row r="162" spans="1:10" ht="30" customHeight="1" thickTop="1" thickBot="1" x14ac:dyDescent="0.3">
      <c r="A162" s="193"/>
      <c r="B162" s="8" t="s">
        <v>61</v>
      </c>
      <c r="C162" s="9">
        <v>1</v>
      </c>
      <c r="D162" s="62">
        <f t="shared" si="16"/>
        <v>2.5000000000000001E-2</v>
      </c>
      <c r="E162" s="3"/>
      <c r="H162"/>
      <c r="I162"/>
      <c r="J162"/>
    </row>
    <row r="163" spans="1:10" ht="30" customHeight="1" thickTop="1" thickBot="1" x14ac:dyDescent="0.3">
      <c r="A163" s="194"/>
      <c r="B163" s="11" t="s">
        <v>4</v>
      </c>
      <c r="C163" s="12">
        <v>40</v>
      </c>
      <c r="D163" s="61">
        <f t="shared" si="16"/>
        <v>1</v>
      </c>
      <c r="E163" s="3"/>
    </row>
    <row r="164" spans="1:10" ht="30" customHeight="1" thickTop="1" x14ac:dyDescent="0.25">
      <c r="A164" s="3"/>
      <c r="B164" s="3"/>
      <c r="C164" s="3"/>
      <c r="D164" s="3"/>
      <c r="E164" s="3"/>
    </row>
    <row r="165" spans="1:10" ht="30" customHeight="1" thickBot="1" x14ac:dyDescent="0.3">
      <c r="A165" s="189" t="s">
        <v>63</v>
      </c>
      <c r="B165" s="189"/>
      <c r="C165" s="189"/>
      <c r="D165" s="189"/>
      <c r="E165" s="3"/>
    </row>
    <row r="166" spans="1:10" ht="30" customHeight="1" thickTop="1" thickBot="1" x14ac:dyDescent="0.3">
      <c r="A166" s="190" t="s">
        <v>0</v>
      </c>
      <c r="B166" s="191"/>
      <c r="C166" s="1" t="s">
        <v>93</v>
      </c>
      <c r="D166" s="2" t="s">
        <v>94</v>
      </c>
      <c r="E166" s="3"/>
      <c r="H166" s="114" t="s">
        <v>94</v>
      </c>
      <c r="I166" s="115" t="s">
        <v>93</v>
      </c>
      <c r="J166" s="114" t="s">
        <v>63</v>
      </c>
    </row>
    <row r="167" spans="1:10" ht="30" customHeight="1" thickTop="1" thickBot="1" x14ac:dyDescent="0.3">
      <c r="A167" s="192"/>
      <c r="B167" s="5" t="s">
        <v>59</v>
      </c>
      <c r="C167" s="6">
        <v>4</v>
      </c>
      <c r="D167" s="7">
        <v>10</v>
      </c>
      <c r="E167" s="3"/>
      <c r="H167" s="116">
        <f>I167/$I$171</f>
        <v>0.1</v>
      </c>
      <c r="I167" s="117">
        <v>4</v>
      </c>
      <c r="J167" s="118" t="s">
        <v>59</v>
      </c>
    </row>
    <row r="168" spans="1:10" ht="30" customHeight="1" thickBot="1" x14ac:dyDescent="0.3">
      <c r="A168" s="193"/>
      <c r="B168" s="8" t="s">
        <v>64</v>
      </c>
      <c r="C168" s="9">
        <v>17</v>
      </c>
      <c r="D168" s="10">
        <v>42.5</v>
      </c>
      <c r="E168" s="3"/>
      <c r="H168" s="119">
        <f t="shared" ref="H168:H171" si="17">I168/$I$171</f>
        <v>0.42499999999999999</v>
      </c>
      <c r="I168" s="120">
        <v>17</v>
      </c>
      <c r="J168" s="121" t="s">
        <v>64</v>
      </c>
    </row>
    <row r="169" spans="1:10" ht="30" customHeight="1" thickBot="1" x14ac:dyDescent="0.3">
      <c r="A169" s="193"/>
      <c r="B169" s="8" t="s">
        <v>65</v>
      </c>
      <c r="C169" s="9">
        <v>15</v>
      </c>
      <c r="D169" s="10">
        <v>37.5</v>
      </c>
      <c r="E169" s="3"/>
      <c r="H169" s="122">
        <f t="shared" si="17"/>
        <v>0.375</v>
      </c>
      <c r="I169" s="123">
        <v>15</v>
      </c>
      <c r="J169" s="124" t="s">
        <v>65</v>
      </c>
    </row>
    <row r="170" spans="1:10" ht="30" customHeight="1" thickBot="1" x14ac:dyDescent="0.3">
      <c r="A170" s="193"/>
      <c r="B170" s="8" t="s">
        <v>66</v>
      </c>
      <c r="C170" s="9">
        <v>4</v>
      </c>
      <c r="D170" s="10">
        <v>10</v>
      </c>
      <c r="E170" s="3"/>
      <c r="H170" s="125">
        <f t="shared" si="17"/>
        <v>0.1</v>
      </c>
      <c r="I170" s="126">
        <v>4</v>
      </c>
      <c r="J170" s="127" t="s">
        <v>66</v>
      </c>
    </row>
    <row r="171" spans="1:10" ht="30" customHeight="1" thickBot="1" x14ac:dyDescent="0.3">
      <c r="A171" s="194"/>
      <c r="B171" s="11" t="s">
        <v>4</v>
      </c>
      <c r="C171" s="12">
        <v>40</v>
      </c>
      <c r="D171" s="13">
        <v>100</v>
      </c>
      <c r="E171" s="3"/>
      <c r="H171" s="128">
        <f t="shared" si="17"/>
        <v>1</v>
      </c>
      <c r="I171" s="129">
        <v>40</v>
      </c>
      <c r="J171" s="130" t="s">
        <v>98</v>
      </c>
    </row>
    <row r="172" spans="1:10" ht="30" customHeight="1" thickTop="1" x14ac:dyDescent="0.25">
      <c r="A172" s="3"/>
      <c r="B172" s="3"/>
      <c r="C172" s="3"/>
      <c r="D172" s="3"/>
      <c r="E172" s="3"/>
    </row>
    <row r="173" spans="1:10" ht="30" customHeight="1" thickBot="1" x14ac:dyDescent="0.3">
      <c r="A173" s="189" t="s">
        <v>67</v>
      </c>
      <c r="B173" s="189"/>
      <c r="C173" s="189"/>
      <c r="D173" s="189"/>
      <c r="E173" s="3"/>
    </row>
    <row r="174" spans="1:10" ht="30" customHeight="1" thickTop="1" thickBot="1" x14ac:dyDescent="0.3">
      <c r="A174" s="190" t="s">
        <v>0</v>
      </c>
      <c r="B174" s="191"/>
      <c r="C174" s="1" t="s">
        <v>93</v>
      </c>
      <c r="D174" s="2" t="s">
        <v>94</v>
      </c>
      <c r="E174" s="3"/>
    </row>
    <row r="175" spans="1:10" ht="30" customHeight="1" thickTop="1" x14ac:dyDescent="0.25">
      <c r="A175" s="192"/>
      <c r="B175" s="5" t="s">
        <v>33</v>
      </c>
      <c r="C175" s="6">
        <v>39</v>
      </c>
      <c r="D175" s="7">
        <v>97.5</v>
      </c>
      <c r="E175" s="3"/>
    </row>
    <row r="176" spans="1:10" ht="30" customHeight="1" x14ac:dyDescent="0.25">
      <c r="A176" s="193"/>
      <c r="B176" s="8" t="s">
        <v>34</v>
      </c>
      <c r="C176" s="9">
        <v>1</v>
      </c>
      <c r="D176" s="10">
        <v>2.5</v>
      </c>
      <c r="E176" s="3"/>
    </row>
    <row r="177" spans="1:10" ht="30" customHeight="1" thickBot="1" x14ac:dyDescent="0.3">
      <c r="A177" s="194"/>
      <c r="B177" s="11" t="s">
        <v>4</v>
      </c>
      <c r="C177" s="12">
        <v>40</v>
      </c>
      <c r="D177" s="13">
        <v>100</v>
      </c>
      <c r="E177" s="3"/>
    </row>
    <row r="178" spans="1:10" ht="30" customHeight="1" thickTop="1" x14ac:dyDescent="0.25">
      <c r="A178" s="3"/>
      <c r="B178" s="3"/>
      <c r="C178" s="3"/>
      <c r="D178" s="3"/>
      <c r="E178" s="3"/>
    </row>
    <row r="179" spans="1:10" ht="30" customHeight="1" thickBot="1" x14ac:dyDescent="0.3">
      <c r="A179" s="189" t="s">
        <v>68</v>
      </c>
      <c r="B179" s="189"/>
      <c r="C179" s="189"/>
      <c r="D179" s="189"/>
      <c r="E179" s="3"/>
    </row>
    <row r="180" spans="1:10" ht="30" customHeight="1" thickTop="1" thickBot="1" x14ac:dyDescent="0.3">
      <c r="A180" s="190" t="s">
        <v>0</v>
      </c>
      <c r="B180" s="191"/>
      <c r="C180" s="1" t="s">
        <v>93</v>
      </c>
      <c r="D180" s="2" t="s">
        <v>94</v>
      </c>
      <c r="E180" s="3"/>
      <c r="H180" s="136" t="s">
        <v>94</v>
      </c>
      <c r="I180" s="137" t="s">
        <v>93</v>
      </c>
      <c r="J180" s="136" t="s">
        <v>68</v>
      </c>
    </row>
    <row r="181" spans="1:10" ht="30" customHeight="1" thickTop="1" thickBot="1" x14ac:dyDescent="0.3">
      <c r="A181" s="192"/>
      <c r="B181" s="5" t="s">
        <v>69</v>
      </c>
      <c r="C181" s="6">
        <v>1</v>
      </c>
      <c r="D181" s="7">
        <v>2.5</v>
      </c>
      <c r="E181" s="3"/>
      <c r="H181" s="144">
        <f>I181/$I$185</f>
        <v>2.5000000000000001E-2</v>
      </c>
      <c r="I181" s="132">
        <v>1</v>
      </c>
      <c r="J181" s="138" t="s">
        <v>69</v>
      </c>
    </row>
    <row r="182" spans="1:10" ht="30" customHeight="1" thickBot="1" x14ac:dyDescent="0.3">
      <c r="A182" s="193"/>
      <c r="B182" s="8" t="s">
        <v>70</v>
      </c>
      <c r="C182" s="9">
        <v>5</v>
      </c>
      <c r="D182" s="10">
        <v>12.5</v>
      </c>
      <c r="E182" s="3"/>
      <c r="H182" s="145">
        <f t="shared" ref="H182:H185" si="18">I182/$I$185</f>
        <v>0.125</v>
      </c>
      <c r="I182" s="134">
        <v>5</v>
      </c>
      <c r="J182" s="139" t="s">
        <v>70</v>
      </c>
    </row>
    <row r="183" spans="1:10" ht="30" customHeight="1" thickBot="1" x14ac:dyDescent="0.3">
      <c r="A183" s="193"/>
      <c r="B183" s="8" t="s">
        <v>71</v>
      </c>
      <c r="C183" s="9">
        <v>10</v>
      </c>
      <c r="D183" s="10">
        <v>25</v>
      </c>
      <c r="E183" s="3"/>
      <c r="H183" s="146">
        <f t="shared" si="18"/>
        <v>0.25</v>
      </c>
      <c r="I183" s="133">
        <v>10</v>
      </c>
      <c r="J183" s="140" t="s">
        <v>71</v>
      </c>
    </row>
    <row r="184" spans="1:10" ht="30" customHeight="1" thickBot="1" x14ac:dyDescent="0.3">
      <c r="A184" s="193"/>
      <c r="B184" s="8" t="s">
        <v>72</v>
      </c>
      <c r="C184" s="9">
        <v>24</v>
      </c>
      <c r="D184" s="10">
        <v>60</v>
      </c>
      <c r="E184" s="3"/>
      <c r="H184" s="147">
        <f t="shared" si="18"/>
        <v>0.6</v>
      </c>
      <c r="I184" s="135">
        <v>24</v>
      </c>
      <c r="J184" s="141" t="s">
        <v>72</v>
      </c>
    </row>
    <row r="185" spans="1:10" ht="30" customHeight="1" thickBot="1" x14ac:dyDescent="0.3">
      <c r="A185" s="194"/>
      <c r="B185" s="11" t="s">
        <v>4</v>
      </c>
      <c r="C185" s="12">
        <v>40</v>
      </c>
      <c r="D185" s="13">
        <v>100</v>
      </c>
      <c r="E185" s="3"/>
      <c r="H185" s="143">
        <f t="shared" si="18"/>
        <v>1</v>
      </c>
      <c r="I185" s="131">
        <v>40</v>
      </c>
      <c r="J185" s="142" t="s">
        <v>98</v>
      </c>
    </row>
    <row r="186" spans="1:10" ht="30" customHeight="1" thickTop="1" x14ac:dyDescent="0.25">
      <c r="A186" s="3"/>
      <c r="B186" s="3"/>
      <c r="C186" s="3"/>
      <c r="D186" s="3"/>
      <c r="E186" s="3"/>
    </row>
    <row r="187" spans="1:10" ht="30" customHeight="1" thickBot="1" x14ac:dyDescent="0.3">
      <c r="A187" s="189" t="s">
        <v>73</v>
      </c>
      <c r="B187" s="189"/>
      <c r="C187" s="189"/>
      <c r="D187" s="189"/>
      <c r="E187" s="3"/>
    </row>
    <row r="188" spans="1:10" ht="30" customHeight="1" thickTop="1" thickBot="1" x14ac:dyDescent="0.3">
      <c r="A188" s="190" t="s">
        <v>0</v>
      </c>
      <c r="B188" s="191"/>
      <c r="C188" s="1" t="s">
        <v>93</v>
      </c>
      <c r="D188" s="2" t="s">
        <v>94</v>
      </c>
      <c r="E188" s="3"/>
      <c r="H188" s="150" t="s">
        <v>94</v>
      </c>
      <c r="I188" s="151" t="s">
        <v>93</v>
      </c>
      <c r="J188" s="150" t="s">
        <v>106</v>
      </c>
    </row>
    <row r="189" spans="1:10" ht="30" customHeight="1" thickTop="1" thickBot="1" x14ac:dyDescent="0.3">
      <c r="A189" s="192"/>
      <c r="B189" s="5" t="s">
        <v>70</v>
      </c>
      <c r="C189" s="6">
        <v>1</v>
      </c>
      <c r="D189" s="7">
        <v>2.5</v>
      </c>
      <c r="E189" s="3"/>
      <c r="H189" s="152">
        <f>I189/$I$192</f>
        <v>2.5000000000000001E-2</v>
      </c>
      <c r="I189" s="153">
        <v>1</v>
      </c>
      <c r="J189" s="154" t="s">
        <v>70</v>
      </c>
    </row>
    <row r="190" spans="1:10" ht="30" customHeight="1" thickBot="1" x14ac:dyDescent="0.3">
      <c r="A190" s="193"/>
      <c r="B190" s="8" t="s">
        <v>71</v>
      </c>
      <c r="C190" s="9">
        <v>22</v>
      </c>
      <c r="D190" s="10">
        <v>55.000000000000007</v>
      </c>
      <c r="E190" s="3"/>
      <c r="H190" s="155">
        <f t="shared" ref="H190:H192" si="19">I190/$I$192</f>
        <v>0.55000000000000004</v>
      </c>
      <c r="I190" s="156">
        <v>22</v>
      </c>
      <c r="J190" s="157" t="s">
        <v>71</v>
      </c>
    </row>
    <row r="191" spans="1:10" ht="30" customHeight="1" thickBot="1" x14ac:dyDescent="0.3">
      <c r="A191" s="193"/>
      <c r="B191" s="8" t="s">
        <v>72</v>
      </c>
      <c r="C191" s="9">
        <v>17</v>
      </c>
      <c r="D191" s="10">
        <v>42.5</v>
      </c>
      <c r="E191" s="3"/>
      <c r="H191" s="158">
        <f t="shared" si="19"/>
        <v>0.42499999999999999</v>
      </c>
      <c r="I191" s="159">
        <v>17</v>
      </c>
      <c r="J191" s="160" t="s">
        <v>72</v>
      </c>
    </row>
    <row r="192" spans="1:10" ht="30" customHeight="1" thickBot="1" x14ac:dyDescent="0.3">
      <c r="A192" s="194"/>
      <c r="B192" s="11" t="s">
        <v>4</v>
      </c>
      <c r="C192" s="12">
        <v>40</v>
      </c>
      <c r="D192" s="13">
        <v>100</v>
      </c>
      <c r="E192" s="3"/>
      <c r="H192" s="148">
        <f t="shared" si="19"/>
        <v>1</v>
      </c>
      <c r="I192" s="149">
        <v>40</v>
      </c>
      <c r="J192" s="150" t="s">
        <v>98</v>
      </c>
    </row>
    <row r="193" spans="1:10" ht="30" customHeight="1" thickTop="1" x14ac:dyDescent="0.25">
      <c r="A193" s="3"/>
      <c r="B193" s="3"/>
      <c r="C193" s="3"/>
      <c r="D193" s="3"/>
      <c r="E193" s="3"/>
    </row>
    <row r="194" spans="1:10" ht="30" customHeight="1" thickBot="1" x14ac:dyDescent="0.3">
      <c r="A194" s="189" t="s">
        <v>74</v>
      </c>
      <c r="B194" s="189"/>
      <c r="C194" s="189"/>
      <c r="D194" s="189"/>
      <c r="E194" s="3"/>
    </row>
    <row r="195" spans="1:10" ht="30" customHeight="1" thickTop="1" thickBot="1" x14ac:dyDescent="0.3">
      <c r="A195" s="190" t="s">
        <v>0</v>
      </c>
      <c r="B195" s="191"/>
      <c r="C195" s="1" t="s">
        <v>93</v>
      </c>
      <c r="D195" s="2" t="s">
        <v>94</v>
      </c>
      <c r="E195" s="3"/>
      <c r="H195" s="161" t="s">
        <v>94</v>
      </c>
      <c r="I195" s="161" t="s">
        <v>93</v>
      </c>
      <c r="J195" s="161" t="s">
        <v>74</v>
      </c>
    </row>
    <row r="196" spans="1:10" ht="30" customHeight="1" thickTop="1" thickBot="1" x14ac:dyDescent="0.3">
      <c r="A196" s="192"/>
      <c r="B196" s="5" t="s">
        <v>75</v>
      </c>
      <c r="C196" s="6">
        <v>1</v>
      </c>
      <c r="D196" s="7">
        <v>2.5</v>
      </c>
      <c r="E196" s="3"/>
      <c r="H196" s="162">
        <f>I196/$I$200</f>
        <v>2.5000000000000001E-2</v>
      </c>
      <c r="I196" s="163">
        <v>1</v>
      </c>
      <c r="J196" s="164" t="s">
        <v>75</v>
      </c>
    </row>
    <row r="197" spans="1:10" ht="30" customHeight="1" thickBot="1" x14ac:dyDescent="0.3">
      <c r="A197" s="193"/>
      <c r="B197" s="8" t="s">
        <v>76</v>
      </c>
      <c r="C197" s="9">
        <v>22</v>
      </c>
      <c r="D197" s="10">
        <v>55.000000000000007</v>
      </c>
      <c r="E197" s="3"/>
      <c r="H197" s="167">
        <f t="shared" ref="H197:H199" si="20">I197/$I$200</f>
        <v>0.55000000000000004</v>
      </c>
      <c r="I197" s="168">
        <v>22</v>
      </c>
      <c r="J197" s="169" t="s">
        <v>76</v>
      </c>
    </row>
    <row r="198" spans="1:10" ht="30" customHeight="1" thickBot="1" x14ac:dyDescent="0.3">
      <c r="A198" s="193"/>
      <c r="B198" s="8" t="s">
        <v>77</v>
      </c>
      <c r="C198" s="9">
        <v>16</v>
      </c>
      <c r="D198" s="10">
        <v>40</v>
      </c>
      <c r="E198" s="3"/>
      <c r="H198" s="170">
        <f t="shared" si="20"/>
        <v>0.4</v>
      </c>
      <c r="I198" s="171">
        <v>16</v>
      </c>
      <c r="J198" s="172" t="s">
        <v>77</v>
      </c>
    </row>
    <row r="199" spans="1:10" ht="30" customHeight="1" thickBot="1" x14ac:dyDescent="0.3">
      <c r="A199" s="193"/>
      <c r="B199" s="8" t="s">
        <v>78</v>
      </c>
      <c r="C199" s="9">
        <v>1</v>
      </c>
      <c r="D199" s="10">
        <v>2.5</v>
      </c>
      <c r="E199" s="3"/>
      <c r="H199" s="173">
        <f t="shared" si="20"/>
        <v>2.5000000000000001E-2</v>
      </c>
      <c r="I199" s="165">
        <v>1</v>
      </c>
      <c r="J199" s="166" t="s">
        <v>78</v>
      </c>
    </row>
    <row r="200" spans="1:10" ht="30" customHeight="1" thickBot="1" x14ac:dyDescent="0.3">
      <c r="A200" s="194"/>
      <c r="B200" s="11" t="s">
        <v>4</v>
      </c>
      <c r="C200" s="12">
        <v>40</v>
      </c>
      <c r="D200" s="13">
        <v>100</v>
      </c>
      <c r="E200" s="3"/>
      <c r="H200" s="174">
        <f>I200/$I$200</f>
        <v>1</v>
      </c>
      <c r="I200" s="175">
        <v>40</v>
      </c>
      <c r="J200" s="176" t="s">
        <v>98</v>
      </c>
    </row>
    <row r="201" spans="1:10" ht="30" customHeight="1" thickTop="1" x14ac:dyDescent="0.25">
      <c r="A201" s="3"/>
      <c r="B201" s="3"/>
      <c r="C201" s="3"/>
      <c r="D201" s="3"/>
      <c r="E201" s="3"/>
    </row>
    <row r="202" spans="1:10" ht="30" customHeight="1" thickBot="1" x14ac:dyDescent="0.3">
      <c r="A202" s="189" t="s">
        <v>79</v>
      </c>
      <c r="B202" s="189"/>
      <c r="C202" s="189"/>
      <c r="D202" s="189"/>
      <c r="E202" s="3"/>
    </row>
    <row r="203" spans="1:10" ht="30" customHeight="1" thickTop="1" thickBot="1" x14ac:dyDescent="0.3">
      <c r="A203" s="190" t="s">
        <v>0</v>
      </c>
      <c r="B203" s="191"/>
      <c r="C203" s="1" t="s">
        <v>93</v>
      </c>
      <c r="D203" s="2" t="s">
        <v>94</v>
      </c>
      <c r="E203" s="3"/>
    </row>
    <row r="204" spans="1:10" ht="30" customHeight="1" thickTop="1" x14ac:dyDescent="0.25">
      <c r="A204" s="192"/>
      <c r="B204" s="5" t="s">
        <v>33</v>
      </c>
      <c r="C204" s="6">
        <v>35</v>
      </c>
      <c r="D204" s="7">
        <v>87.5</v>
      </c>
      <c r="E204" s="3"/>
    </row>
    <row r="205" spans="1:10" ht="30" customHeight="1" x14ac:dyDescent="0.25">
      <c r="A205" s="193"/>
      <c r="B205" s="8" t="s">
        <v>34</v>
      </c>
      <c r="C205" s="9">
        <v>5</v>
      </c>
      <c r="D205" s="10">
        <v>12.5</v>
      </c>
      <c r="E205" s="3"/>
    </row>
    <row r="206" spans="1:10" ht="30" customHeight="1" thickBot="1" x14ac:dyDescent="0.3">
      <c r="A206" s="194"/>
      <c r="B206" s="11" t="s">
        <v>4</v>
      </c>
      <c r="C206" s="12">
        <v>40</v>
      </c>
      <c r="D206" s="13">
        <v>100</v>
      </c>
      <c r="E206" s="3"/>
    </row>
    <row r="207" spans="1:10" ht="30" customHeight="1" thickTop="1" x14ac:dyDescent="0.25">
      <c r="A207" s="3"/>
      <c r="B207" s="3"/>
      <c r="C207" s="3"/>
      <c r="D207" s="3"/>
      <c r="E207" s="3"/>
    </row>
    <row r="208" spans="1:10" ht="30" customHeight="1" thickBot="1" x14ac:dyDescent="0.3">
      <c r="A208" s="189" t="s">
        <v>80</v>
      </c>
      <c r="B208" s="189"/>
      <c r="C208" s="189"/>
      <c r="D208" s="189"/>
      <c r="E208" s="3"/>
    </row>
    <row r="209" spans="1:10" ht="30" customHeight="1" thickTop="1" thickBot="1" x14ac:dyDescent="0.3">
      <c r="A209" s="190" t="s">
        <v>0</v>
      </c>
      <c r="B209" s="191"/>
      <c r="C209" s="1" t="s">
        <v>93</v>
      </c>
      <c r="D209" s="2" t="s">
        <v>94</v>
      </c>
      <c r="E209" s="3"/>
    </row>
    <row r="210" spans="1:10" ht="30" customHeight="1" thickTop="1" thickBot="1" x14ac:dyDescent="0.3">
      <c r="A210" s="192"/>
      <c r="B210" s="5" t="s">
        <v>33</v>
      </c>
      <c r="C210" s="6">
        <v>30</v>
      </c>
      <c r="D210" s="61">
        <f>C210/$C$212</f>
        <v>0.75</v>
      </c>
      <c r="E210" s="3"/>
    </row>
    <row r="211" spans="1:10" ht="30" customHeight="1" thickTop="1" thickBot="1" x14ac:dyDescent="0.3">
      <c r="A211" s="193"/>
      <c r="B211" s="8" t="s">
        <v>34</v>
      </c>
      <c r="C211" s="9">
        <v>10</v>
      </c>
      <c r="D211" s="61">
        <f t="shared" ref="D211:D212" si="21">C211/$C$212</f>
        <v>0.25</v>
      </c>
      <c r="E211" s="3"/>
    </row>
    <row r="212" spans="1:10" ht="30" customHeight="1" thickTop="1" thickBot="1" x14ac:dyDescent="0.3">
      <c r="A212" s="194"/>
      <c r="B212" s="11" t="s">
        <v>4</v>
      </c>
      <c r="C212" s="12">
        <v>40</v>
      </c>
      <c r="D212" s="61">
        <f t="shared" si="21"/>
        <v>1</v>
      </c>
      <c r="E212" s="3"/>
    </row>
    <row r="213" spans="1:10" ht="30" customHeight="1" thickTop="1" x14ac:dyDescent="0.25">
      <c r="A213" s="3"/>
      <c r="B213" s="3"/>
      <c r="C213" s="3"/>
      <c r="D213" s="3"/>
      <c r="E213" s="3"/>
    </row>
    <row r="214" spans="1:10" ht="30" customHeight="1" thickBot="1" x14ac:dyDescent="0.3">
      <c r="A214" s="189" t="s">
        <v>81</v>
      </c>
      <c r="B214" s="189"/>
      <c r="C214" s="189"/>
      <c r="D214" s="189"/>
      <c r="E214" s="3"/>
    </row>
    <row r="215" spans="1:10" ht="30" customHeight="1" thickTop="1" thickBot="1" x14ac:dyDescent="0.3">
      <c r="A215" s="190" t="s">
        <v>0</v>
      </c>
      <c r="B215" s="191"/>
      <c r="C215" s="1" t="s">
        <v>93</v>
      </c>
      <c r="D215" s="2" t="s">
        <v>94</v>
      </c>
      <c r="E215" s="3"/>
      <c r="H215" s="178" t="s">
        <v>94</v>
      </c>
      <c r="I215" s="177" t="s">
        <v>93</v>
      </c>
      <c r="J215" s="177" t="s">
        <v>81</v>
      </c>
    </row>
    <row r="216" spans="1:10" ht="30" customHeight="1" thickTop="1" thickBot="1" x14ac:dyDescent="0.3">
      <c r="A216" s="192"/>
      <c r="B216" s="5" t="s">
        <v>82</v>
      </c>
      <c r="C216" s="6">
        <v>4</v>
      </c>
      <c r="D216" s="61">
        <f>C216/$C$219</f>
        <v>0.1</v>
      </c>
      <c r="E216" s="3"/>
      <c r="H216" s="182">
        <v>0.1</v>
      </c>
      <c r="I216" s="183">
        <v>4</v>
      </c>
      <c r="J216" s="184" t="s">
        <v>82</v>
      </c>
    </row>
    <row r="217" spans="1:10" ht="30" customHeight="1" thickTop="1" thickBot="1" x14ac:dyDescent="0.3">
      <c r="A217" s="193"/>
      <c r="B217" s="8" t="s">
        <v>83</v>
      </c>
      <c r="C217" s="9">
        <v>3</v>
      </c>
      <c r="D217" s="62">
        <f t="shared" ref="D217:D219" si="22">C217/$C$219</f>
        <v>7.4999999999999997E-2</v>
      </c>
      <c r="E217" s="3"/>
      <c r="H217" s="179">
        <v>7.4999999999999997E-2</v>
      </c>
      <c r="I217" s="180">
        <v>3</v>
      </c>
      <c r="J217" s="181" t="s">
        <v>83</v>
      </c>
    </row>
    <row r="218" spans="1:10" ht="30" customHeight="1" thickTop="1" thickBot="1" x14ac:dyDescent="0.3">
      <c r="A218" s="193"/>
      <c r="B218" s="8" t="s">
        <v>84</v>
      </c>
      <c r="C218" s="9">
        <v>33</v>
      </c>
      <c r="D218" s="62">
        <f t="shared" si="22"/>
        <v>0.82499999999999996</v>
      </c>
      <c r="E218" s="3"/>
      <c r="H218" s="185">
        <v>0.82499999999999996</v>
      </c>
      <c r="I218" s="186">
        <v>33</v>
      </c>
      <c r="J218" s="187" t="s">
        <v>84</v>
      </c>
    </row>
    <row r="219" spans="1:10" ht="30" customHeight="1" thickTop="1" thickBot="1" x14ac:dyDescent="0.3">
      <c r="A219" s="194"/>
      <c r="B219" s="11" t="s">
        <v>4</v>
      </c>
      <c r="C219" s="12">
        <v>40</v>
      </c>
      <c r="D219" s="61">
        <f t="shared" si="22"/>
        <v>1</v>
      </c>
      <c r="E219" s="3"/>
      <c r="H219" s="128">
        <v>1</v>
      </c>
      <c r="I219" s="129">
        <v>40</v>
      </c>
      <c r="J219" s="188" t="s">
        <v>98</v>
      </c>
    </row>
    <row r="220" spans="1:10" ht="30" customHeight="1" thickTop="1" x14ac:dyDescent="0.25">
      <c r="A220" s="3"/>
      <c r="B220" s="3"/>
      <c r="C220" s="3"/>
      <c r="D220" s="3"/>
      <c r="E220" s="3"/>
    </row>
    <row r="221" spans="1:10" ht="30" customHeight="1" thickBot="1" x14ac:dyDescent="0.3">
      <c r="A221" s="189" t="s">
        <v>85</v>
      </c>
      <c r="B221" s="189"/>
      <c r="C221" s="189"/>
      <c r="D221" s="189"/>
      <c r="E221" s="3"/>
    </row>
    <row r="222" spans="1:10" ht="30" customHeight="1" thickTop="1" thickBot="1" x14ac:dyDescent="0.3">
      <c r="A222" s="190" t="s">
        <v>0</v>
      </c>
      <c r="B222" s="191"/>
      <c r="C222" s="1" t="s">
        <v>93</v>
      </c>
      <c r="D222" s="2" t="s">
        <v>94</v>
      </c>
      <c r="E222" s="3"/>
    </row>
    <row r="223" spans="1:10" ht="30" customHeight="1" thickTop="1" x14ac:dyDescent="0.25">
      <c r="A223" s="192"/>
      <c r="B223" s="5" t="s">
        <v>33</v>
      </c>
      <c r="C223" s="6">
        <v>39</v>
      </c>
      <c r="D223" s="7">
        <v>97.5</v>
      </c>
      <c r="E223" s="3"/>
    </row>
    <row r="224" spans="1:10" ht="30" customHeight="1" x14ac:dyDescent="0.25">
      <c r="A224" s="193"/>
      <c r="B224" s="8" t="s">
        <v>34</v>
      </c>
      <c r="C224" s="9">
        <v>1</v>
      </c>
      <c r="D224" s="10">
        <v>2.5</v>
      </c>
      <c r="E224" s="3"/>
    </row>
    <row r="225" spans="1:5" ht="30" customHeight="1" thickBot="1" x14ac:dyDescent="0.3">
      <c r="A225" s="194"/>
      <c r="B225" s="11" t="s">
        <v>4</v>
      </c>
      <c r="C225" s="12">
        <v>40</v>
      </c>
      <c r="D225" s="13">
        <v>100</v>
      </c>
      <c r="E225" s="3"/>
    </row>
    <row r="226" spans="1:5" ht="30" customHeight="1" thickTop="1" x14ac:dyDescent="0.25">
      <c r="A226" s="3"/>
      <c r="B226" s="3"/>
      <c r="C226" s="3"/>
      <c r="D226" s="3"/>
      <c r="E226" s="3"/>
    </row>
    <row r="227" spans="1:5" ht="30" customHeight="1" thickBot="1" x14ac:dyDescent="0.3">
      <c r="A227" s="189" t="s">
        <v>86</v>
      </c>
      <c r="B227" s="189"/>
      <c r="C227" s="189"/>
      <c r="D227" s="189"/>
      <c r="E227" s="3"/>
    </row>
    <row r="228" spans="1:5" ht="30" customHeight="1" thickTop="1" thickBot="1" x14ac:dyDescent="0.3">
      <c r="A228" s="190" t="s">
        <v>0</v>
      </c>
      <c r="B228" s="191"/>
      <c r="C228" s="1" t="s">
        <v>93</v>
      </c>
      <c r="D228" s="2" t="s">
        <v>94</v>
      </c>
      <c r="E228" s="3"/>
    </row>
    <row r="229" spans="1:5" ht="30" customHeight="1" thickTop="1" thickBot="1" x14ac:dyDescent="0.3">
      <c r="A229" s="192"/>
      <c r="B229" s="5" t="s">
        <v>33</v>
      </c>
      <c r="C229" s="6">
        <v>28</v>
      </c>
      <c r="D229" s="61">
        <f>C229/$C$231</f>
        <v>0.7</v>
      </c>
      <c r="E229" s="3"/>
    </row>
    <row r="230" spans="1:5" ht="30" customHeight="1" thickTop="1" thickBot="1" x14ac:dyDescent="0.3">
      <c r="A230" s="193"/>
      <c r="B230" s="8" t="s">
        <v>34</v>
      </c>
      <c r="C230" s="9">
        <v>12</v>
      </c>
      <c r="D230" s="61">
        <f t="shared" ref="D230:D231" si="23">C230/$C$231</f>
        <v>0.3</v>
      </c>
      <c r="E230" s="3"/>
    </row>
    <row r="231" spans="1:5" ht="30" customHeight="1" thickTop="1" thickBot="1" x14ac:dyDescent="0.3">
      <c r="A231" s="194"/>
      <c r="B231" s="11" t="s">
        <v>4</v>
      </c>
      <c r="C231" s="12">
        <v>40</v>
      </c>
      <c r="D231" s="61">
        <f t="shared" si="23"/>
        <v>1</v>
      </c>
      <c r="E231" s="3"/>
    </row>
    <row r="232" spans="1:5" ht="30" customHeight="1" thickTop="1" x14ac:dyDescent="0.25">
      <c r="A232" s="3"/>
      <c r="B232" s="3"/>
      <c r="C232" s="3"/>
      <c r="D232" s="3"/>
      <c r="E232" s="3"/>
    </row>
    <row r="233" spans="1:5" ht="30" customHeight="1" thickBot="1" x14ac:dyDescent="0.3">
      <c r="A233" s="189" t="s">
        <v>87</v>
      </c>
      <c r="B233" s="189"/>
      <c r="C233" s="189"/>
      <c r="D233" s="189"/>
      <c r="E233" s="3"/>
    </row>
    <row r="234" spans="1:5" ht="30" customHeight="1" thickTop="1" thickBot="1" x14ac:dyDescent="0.3">
      <c r="A234" s="190" t="s">
        <v>0</v>
      </c>
      <c r="B234" s="191"/>
      <c r="C234" s="1" t="s">
        <v>93</v>
      </c>
      <c r="D234" s="2" t="s">
        <v>94</v>
      </c>
      <c r="E234" s="3"/>
    </row>
    <row r="235" spans="1:5" ht="30" customHeight="1" thickTop="1" x14ac:dyDescent="0.25">
      <c r="A235" s="192"/>
      <c r="B235" s="5" t="s">
        <v>33</v>
      </c>
      <c r="C235" s="6">
        <v>35</v>
      </c>
      <c r="D235" s="7">
        <v>87.5</v>
      </c>
      <c r="E235" s="3"/>
    </row>
    <row r="236" spans="1:5" ht="30" customHeight="1" x14ac:dyDescent="0.25">
      <c r="A236" s="193"/>
      <c r="B236" s="8" t="s">
        <v>34</v>
      </c>
      <c r="C236" s="9">
        <v>5</v>
      </c>
      <c r="D236" s="10">
        <v>12.5</v>
      </c>
      <c r="E236" s="3"/>
    </row>
    <row r="237" spans="1:5" ht="30" customHeight="1" thickBot="1" x14ac:dyDescent="0.3">
      <c r="A237" s="194"/>
      <c r="B237" s="11" t="s">
        <v>4</v>
      </c>
      <c r="C237" s="12">
        <v>40</v>
      </c>
      <c r="D237" s="13">
        <v>100</v>
      </c>
      <c r="E237" s="3"/>
    </row>
    <row r="238" spans="1:5" ht="30" customHeight="1" thickTop="1" x14ac:dyDescent="0.25">
      <c r="A238" s="3"/>
      <c r="B238" s="3"/>
      <c r="C238" s="3"/>
      <c r="D238" s="3"/>
      <c r="E238" s="3"/>
    </row>
    <row r="239" spans="1:5" ht="30" customHeight="1" thickBot="1" x14ac:dyDescent="0.3">
      <c r="A239" s="189" t="s">
        <v>88</v>
      </c>
      <c r="B239" s="189"/>
      <c r="C239" s="189"/>
      <c r="D239" s="189"/>
      <c r="E239" s="3"/>
    </row>
    <row r="240" spans="1:5" ht="30" customHeight="1" thickTop="1" thickBot="1" x14ac:dyDescent="0.3">
      <c r="A240" s="190" t="s">
        <v>0</v>
      </c>
      <c r="B240" s="191"/>
      <c r="C240" s="1" t="s">
        <v>93</v>
      </c>
      <c r="D240" s="2" t="s">
        <v>94</v>
      </c>
      <c r="E240" s="3"/>
    </row>
    <row r="241" spans="1:5" ht="30" customHeight="1" thickTop="1" x14ac:dyDescent="0.25">
      <c r="A241" s="192"/>
      <c r="B241" s="5" t="s">
        <v>33</v>
      </c>
      <c r="C241" s="6">
        <v>35</v>
      </c>
      <c r="D241" s="7">
        <v>87.5</v>
      </c>
      <c r="E241" s="3"/>
    </row>
    <row r="242" spans="1:5" ht="30" customHeight="1" x14ac:dyDescent="0.25">
      <c r="A242" s="193"/>
      <c r="B242" s="8" t="s">
        <v>34</v>
      </c>
      <c r="C242" s="9">
        <v>5</v>
      </c>
      <c r="D242" s="10">
        <v>12.5</v>
      </c>
      <c r="E242" s="3"/>
    </row>
    <row r="243" spans="1:5" ht="30" customHeight="1" thickBot="1" x14ac:dyDescent="0.3">
      <c r="A243" s="194"/>
      <c r="B243" s="11" t="s">
        <v>4</v>
      </c>
      <c r="C243" s="12">
        <v>40</v>
      </c>
      <c r="D243" s="13">
        <v>100</v>
      </c>
      <c r="E243" s="3"/>
    </row>
    <row r="244" spans="1:5" ht="30" customHeight="1" thickTop="1" x14ac:dyDescent="0.25">
      <c r="A244" s="3"/>
      <c r="B244" s="3"/>
      <c r="C244" s="3"/>
      <c r="D244" s="3"/>
      <c r="E244" s="3"/>
    </row>
    <row r="245" spans="1:5" ht="30" customHeight="1" thickBot="1" x14ac:dyDescent="0.3">
      <c r="A245" s="189" t="s">
        <v>89</v>
      </c>
      <c r="B245" s="189"/>
      <c r="C245" s="189"/>
      <c r="D245" s="189"/>
      <c r="E245" s="3"/>
    </row>
    <row r="246" spans="1:5" ht="30" customHeight="1" thickTop="1" thickBot="1" x14ac:dyDescent="0.3">
      <c r="A246" s="190" t="s">
        <v>0</v>
      </c>
      <c r="B246" s="191"/>
      <c r="C246" s="1" t="s">
        <v>93</v>
      </c>
      <c r="D246" s="2" t="s">
        <v>94</v>
      </c>
      <c r="E246" s="3"/>
    </row>
    <row r="247" spans="1:5" ht="30" customHeight="1" thickTop="1" x14ac:dyDescent="0.25">
      <c r="A247" s="192"/>
      <c r="B247" s="5" t="s">
        <v>33</v>
      </c>
      <c r="C247" s="6">
        <v>17</v>
      </c>
      <c r="D247" s="7">
        <v>42.5</v>
      </c>
      <c r="E247" s="3"/>
    </row>
    <row r="248" spans="1:5" ht="30" customHeight="1" x14ac:dyDescent="0.25">
      <c r="A248" s="193"/>
      <c r="B248" s="8" t="s">
        <v>34</v>
      </c>
      <c r="C248" s="9">
        <v>23</v>
      </c>
      <c r="D248" s="10">
        <v>57.499999999999993</v>
      </c>
      <c r="E248" s="3"/>
    </row>
    <row r="249" spans="1:5" ht="30" customHeight="1" thickBot="1" x14ac:dyDescent="0.3">
      <c r="A249" s="194"/>
      <c r="B249" s="11" t="s">
        <v>4</v>
      </c>
      <c r="C249" s="12">
        <v>40</v>
      </c>
      <c r="D249" s="13">
        <v>100</v>
      </c>
      <c r="E249" s="3"/>
    </row>
    <row r="250" spans="1:5" ht="30" customHeight="1" thickTop="1" x14ac:dyDescent="0.25">
      <c r="A250" s="3"/>
      <c r="B250" s="3"/>
      <c r="C250" s="3"/>
      <c r="D250" s="3"/>
      <c r="E250" s="3"/>
    </row>
    <row r="251" spans="1:5" ht="30" customHeight="1" thickBot="1" x14ac:dyDescent="0.3">
      <c r="A251" s="189" t="s">
        <v>90</v>
      </c>
      <c r="B251" s="189"/>
      <c r="C251" s="189"/>
      <c r="D251" s="189"/>
      <c r="E251" s="3"/>
    </row>
    <row r="252" spans="1:5" ht="30" customHeight="1" thickTop="1" thickBot="1" x14ac:dyDescent="0.3">
      <c r="A252" s="190" t="s">
        <v>0</v>
      </c>
      <c r="B252" s="191"/>
      <c r="C252" s="1" t="s">
        <v>93</v>
      </c>
      <c r="D252" s="2" t="s">
        <v>94</v>
      </c>
      <c r="E252" s="3"/>
    </row>
    <row r="253" spans="1:5" ht="30" customHeight="1" thickTop="1" x14ac:dyDescent="0.25">
      <c r="A253" s="192"/>
      <c r="B253" s="5" t="s">
        <v>91</v>
      </c>
      <c r="C253" s="6">
        <v>38</v>
      </c>
      <c r="D253" s="7">
        <v>95</v>
      </c>
      <c r="E253" s="3"/>
    </row>
    <row r="254" spans="1:5" ht="30" customHeight="1" x14ac:dyDescent="0.25">
      <c r="A254" s="193"/>
      <c r="B254" s="8" t="s">
        <v>92</v>
      </c>
      <c r="C254" s="9">
        <v>2</v>
      </c>
      <c r="D254" s="10">
        <v>5</v>
      </c>
      <c r="E254" s="3"/>
    </row>
    <row r="255" spans="1:5" ht="30" customHeight="1" thickBot="1" x14ac:dyDescent="0.3">
      <c r="A255" s="194"/>
      <c r="B255" s="11" t="s">
        <v>4</v>
      </c>
      <c r="C255" s="12">
        <v>40</v>
      </c>
      <c r="D255" s="13">
        <v>100</v>
      </c>
      <c r="E255" s="3"/>
    </row>
  </sheetData>
  <mergeCells count="117">
    <mergeCell ref="A15:D15"/>
    <mergeCell ref="A16:B16"/>
    <mergeCell ref="A17:A19"/>
    <mergeCell ref="A21:D21"/>
    <mergeCell ref="A22:B22"/>
    <mergeCell ref="A23:A25"/>
    <mergeCell ref="A1:D1"/>
    <mergeCell ref="A2:B2"/>
    <mergeCell ref="A3:A5"/>
    <mergeCell ref="A7:D7"/>
    <mergeCell ref="A8:B8"/>
    <mergeCell ref="A9:A13"/>
    <mergeCell ref="A41:D41"/>
    <mergeCell ref="A42:B42"/>
    <mergeCell ref="A43:A46"/>
    <mergeCell ref="A48:D48"/>
    <mergeCell ref="A49:B49"/>
    <mergeCell ref="A50:A54"/>
    <mergeCell ref="A27:D27"/>
    <mergeCell ref="A28:B28"/>
    <mergeCell ref="A29:A31"/>
    <mergeCell ref="A33:D33"/>
    <mergeCell ref="A34:B34"/>
    <mergeCell ref="A35:A39"/>
    <mergeCell ref="A68:D68"/>
    <mergeCell ref="A69:B69"/>
    <mergeCell ref="A70:A75"/>
    <mergeCell ref="A77:D77"/>
    <mergeCell ref="A78:B78"/>
    <mergeCell ref="A79:A83"/>
    <mergeCell ref="A56:D56"/>
    <mergeCell ref="A57:B57"/>
    <mergeCell ref="A58:A60"/>
    <mergeCell ref="A62:D62"/>
    <mergeCell ref="A63:B63"/>
    <mergeCell ref="A64:A66"/>
    <mergeCell ref="A97:D97"/>
    <mergeCell ref="A98:B98"/>
    <mergeCell ref="A99:A101"/>
    <mergeCell ref="A103:D103"/>
    <mergeCell ref="A104:B104"/>
    <mergeCell ref="A105:A107"/>
    <mergeCell ref="A85:D85"/>
    <mergeCell ref="A86:B86"/>
    <mergeCell ref="A87:A89"/>
    <mergeCell ref="A91:D91"/>
    <mergeCell ref="A92:B92"/>
    <mergeCell ref="A93:A95"/>
    <mergeCell ref="A121:D121"/>
    <mergeCell ref="A122:B122"/>
    <mergeCell ref="A123:A125"/>
    <mergeCell ref="A127:D127"/>
    <mergeCell ref="A128:B128"/>
    <mergeCell ref="A129:A131"/>
    <mergeCell ref="A109:D109"/>
    <mergeCell ref="A110:B110"/>
    <mergeCell ref="A111:A113"/>
    <mergeCell ref="A115:D115"/>
    <mergeCell ref="A116:B116"/>
    <mergeCell ref="A117:A119"/>
    <mergeCell ref="A145:D145"/>
    <mergeCell ref="A146:B146"/>
    <mergeCell ref="A147:A149"/>
    <mergeCell ref="A151:D151"/>
    <mergeCell ref="A152:B152"/>
    <mergeCell ref="A153:A156"/>
    <mergeCell ref="A133:D133"/>
    <mergeCell ref="A134:B134"/>
    <mergeCell ref="A135:A137"/>
    <mergeCell ref="A139:D139"/>
    <mergeCell ref="A140:B140"/>
    <mergeCell ref="A141:A143"/>
    <mergeCell ref="A173:D173"/>
    <mergeCell ref="A174:B174"/>
    <mergeCell ref="A175:A177"/>
    <mergeCell ref="A179:D179"/>
    <mergeCell ref="A180:B180"/>
    <mergeCell ref="A181:A185"/>
    <mergeCell ref="A158:D158"/>
    <mergeCell ref="A159:B159"/>
    <mergeCell ref="A160:A163"/>
    <mergeCell ref="A165:D165"/>
    <mergeCell ref="A166:B166"/>
    <mergeCell ref="A167:A171"/>
    <mergeCell ref="A202:D202"/>
    <mergeCell ref="A203:B203"/>
    <mergeCell ref="A204:A206"/>
    <mergeCell ref="A208:D208"/>
    <mergeCell ref="A209:B209"/>
    <mergeCell ref="A210:A212"/>
    <mergeCell ref="A187:D187"/>
    <mergeCell ref="A188:B188"/>
    <mergeCell ref="A189:A192"/>
    <mergeCell ref="A194:D194"/>
    <mergeCell ref="A195:B195"/>
    <mergeCell ref="A196:A200"/>
    <mergeCell ref="A227:D227"/>
    <mergeCell ref="A228:B228"/>
    <mergeCell ref="A229:A231"/>
    <mergeCell ref="A233:D233"/>
    <mergeCell ref="A234:B234"/>
    <mergeCell ref="A235:A237"/>
    <mergeCell ref="A214:D214"/>
    <mergeCell ref="A215:B215"/>
    <mergeCell ref="A216:A219"/>
    <mergeCell ref="A221:D221"/>
    <mergeCell ref="A222:B222"/>
    <mergeCell ref="A223:A225"/>
    <mergeCell ref="A251:D251"/>
    <mergeCell ref="A252:B252"/>
    <mergeCell ref="A253:A255"/>
    <mergeCell ref="A239:D239"/>
    <mergeCell ref="A240:B240"/>
    <mergeCell ref="A241:A243"/>
    <mergeCell ref="A245:D245"/>
    <mergeCell ref="A246:B246"/>
    <mergeCell ref="A247:A249"/>
  </mergeCells>
  <conditionalFormatting sqref="H70:H7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{B7E6A6D5-F42D-4AE8-AC37-4948172E1210}</x14:id>
        </ext>
      </extLst>
    </cfRule>
    <cfRule type="dataBar" priority="16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{0E6A514F-F438-415F-A36F-688372CE6DE4}</x14:id>
        </ext>
      </extLst>
    </cfRule>
    <cfRule type="dataBar" priority="17">
      <dataBar>
        <cfvo type="min"/>
        <cfvo type="max"/>
        <color theme="0" tint="-0.499984740745262"/>
      </dataBar>
      <extLst>
        <ext xmlns:x14="http://schemas.microsoft.com/office/spreadsheetml/2009/9/main" uri="{B025F937-C7B1-47D3-B67F-A62EFF666E3E}">
          <x14:id>{40DCE255-E622-4AFA-82D5-32CF51E32E9D}</x14:id>
        </ext>
      </extLst>
    </cfRule>
    <cfRule type="dataBar" priority="18">
      <dataBar>
        <cfvo type="min"/>
        <cfvo type="max"/>
        <color theme="1" tint="4.9989318521683403E-2"/>
      </dataBar>
      <extLst>
        <ext xmlns:x14="http://schemas.microsoft.com/office/spreadsheetml/2009/9/main" uri="{B025F937-C7B1-47D3-B67F-A62EFF666E3E}">
          <x14:id>{F5598229-F6CA-4021-86B0-D464E255E500}</x14:id>
        </ext>
      </extLst>
    </cfRule>
    <cfRule type="dataBar" priority="19">
      <dataBar>
        <cfvo type="min"/>
        <cfvo type="max"/>
        <color rgb="FFCCFFCC"/>
      </dataBar>
      <extLst>
        <ext xmlns:x14="http://schemas.microsoft.com/office/spreadsheetml/2009/9/main" uri="{B025F937-C7B1-47D3-B67F-A62EFF666E3E}">
          <x14:id>{66D446CA-8DEA-44F7-AF41-E297A4744CE8}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{A9E23B13-B567-435E-A6D8-C26B95E2DCCC}</x14:id>
        </ext>
      </extLst>
    </cfRule>
  </conditionalFormatting>
  <conditionalFormatting sqref="H135:H13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{DF7B5C33-40D6-4474-A22D-6FC226B18351}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E6A6D5-F42D-4AE8-AC37-4948172E12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6A514F-F438-415F-A36F-688372CE6D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DCE255-E622-4AFA-82D5-32CF51E32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598229-F6CA-4021-86B0-D464E255E5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D446CA-8DEA-44F7-AF41-E297A4744C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E23B13-B567-435E-A6D8-C26B95E2DC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H70:H76</xm:sqref>
        </x14:conditionalFormatting>
        <x14:conditionalFormatting xmlns:xm="http://schemas.microsoft.com/office/excel/2006/main">
          <x14:cfRule type="dataBar" id="{DF7B5C33-40D6-4474-A22D-6FC226B18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H135:H138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2026-05-02T10:15:40Z</dcterms:modified>
</cp:coreProperties>
</file>